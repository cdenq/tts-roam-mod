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statuses" sheetId="3" state="visible" r:id="rId3"/>
    <sheet xmlns:r="http://schemas.openxmlformats.org/officeDocument/2006/relationships" name="lootbox_table" sheetId="4" state="visible" r:id="rId4"/>
    <sheet xmlns:r="http://schemas.openxmlformats.org/officeDocument/2006/relationships" name="_values" sheetId="5" state="visible" r:id="rId5"/>
    <sheet xmlns:r="http://schemas.openxmlformats.org/officeDocument/2006/relationships" name="_lookup" sheetId="6" state="visible" r:id="rId6"/>
  </sheets>
  <definedNames>
    <definedName name="armor">_values!$F$3:$F$7</definedName>
    <definedName name="blocking">_values!$O$3:$O$4</definedName>
    <definedName name="bludgeoning">_values!$L$3:$L$4</definedName>
    <definedName name="channeling">_values!$P$3:$P$4</definedName>
    <definedName name="consumable">_values!$G$3:$G$10</definedName>
    <definedName name="goods">_values!$H$3:$H$8</definedName>
    <definedName name="hacking">_values!$J$3:$J$4</definedName>
    <definedName name="heavy">_values!$T$3:$T$6</definedName>
    <definedName name="infusing">_values!$R$3:$R$10</definedName>
    <definedName name="light">_values!$V$3:$V$6</definedName>
    <definedName name="material">_values!$S$3:$S$17</definedName>
    <definedName name="medium">_values!$U$3:$U$6</definedName>
    <definedName name="miscellaneous">_values!$X$3:$X$6</definedName>
    <definedName name="profession">_values!$Z$3:$Z$4</definedName>
    <definedName name="projectile">_values!$N$3:$N$4</definedName>
    <definedName name="skill">_values!$Y$3:$Y$4</definedName>
    <definedName name="slashing">_values!$K$3:$K$4</definedName>
    <definedName name="thrusting">_values!$M$3:$M$4</definedName>
    <definedName name="trinket">_values!$W$3:$W$6</definedName>
    <definedName name="warding">_values!$Q$3:$Q$4</definedName>
    <definedName name="weapon">_values!$E$3:$E$12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i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DDE8F0"/>
      </patternFill>
    </fill>
    <fill>
      <patternFill patternType="solid">
        <fgColor rgb="FFE0F0DD"/>
      </patternFill>
    </fill>
    <fill>
      <patternFill patternType="solid">
        <fgColor rgb="FFF0E8DD"/>
      </patternFill>
    </fill>
    <fill>
      <patternFill patternType="solid">
        <fgColor rgb="FFF0E8DD"/>
      </patternFill>
    </fill>
    <fill>
      <patternFill patternType="solid">
        <fgColor rgb="FFE0F0DD"/>
      </patternFill>
    </fill>
    <fill>
      <patternFill patternType="solid">
        <fgColor rgb="FFF0E8DD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0" tint="-0.499984740745262"/>
        <bgColor rgb="FFE8E8E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3" fillId="5" borderId="0" pivotButton="0" quotePrefix="0" xfId="0"/>
    <xf numFmtId="0" fontId="4" fillId="0" borderId="0" pivotButton="0" quotePrefix="0" xfId="1"/>
    <xf numFmtId="0" fontId="5" fillId="6" borderId="0" pivotButton="0" quotePrefix="0" xfId="0"/>
    <xf numFmtId="0" fontId="5" fillId="7" borderId="0" pivotButton="0" quotePrefix="0" xfId="0"/>
    <xf numFmtId="0" fontId="2" fillId="9" borderId="0" applyAlignment="1" pivotButton="0" quotePrefix="0" xfId="0">
      <alignment vertical="center"/>
    </xf>
    <xf numFmtId="0" fontId="0" fillId="9" borderId="0" pivotButton="0" quotePrefix="0" xfId="0"/>
    <xf numFmtId="0" fontId="2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7" fillId="11" borderId="0" pivotButton="0" quotePrefix="0" xfId="0"/>
    <xf numFmtId="0" fontId="2" fillId="12" borderId="0" applyAlignment="1" pivotButton="0" quotePrefix="0" xfId="0">
      <alignment vertical="center"/>
    </xf>
    <xf numFmtId="0" fontId="6" fillId="12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"/>
  <sheetViews>
    <sheetView tabSelected="1" workbookViewId="0">
      <pane ySplit="1" topLeftCell="A107" activePane="bottomLeft" state="frozen"/>
      <selection pane="bottomLeft" activeCell="T108" sqref="T108"/>
    </sheetView>
  </sheetViews>
  <sheetFormatPr baseColWidth="8" defaultRowHeight="15"/>
  <cols>
    <col width="4.5703125" customWidth="1" min="1" max="1"/>
    <col width="5.140625" customWidth="1" min="2" max="2"/>
    <col width="4" customWidth="1" min="3" max="3"/>
    <col width="8.28515625" customWidth="1" min="4" max="4"/>
    <col width="28" customWidth="1" min="5" max="5"/>
    <col width="7.5703125" customWidth="1" min="6" max="6"/>
    <col width="11.42578125" customWidth="1" min="7" max="7"/>
    <col width="12.28515625" customWidth="1" min="8" max="8"/>
    <col width="2.5703125" customWidth="1" min="9" max="9"/>
    <col width="4.28515625" customWidth="1" min="10" max="10"/>
    <col width="4.85546875" customWidth="1" min="11" max="11"/>
    <col width="4.42578125" customWidth="1" min="12" max="12"/>
    <col width="3.85546875" customWidth="1" min="13" max="13"/>
    <col width="3.140625" customWidth="1" min="14" max="14"/>
    <col width="3.7109375" customWidth="1" min="15" max="15"/>
    <col width="4" customWidth="1" min="16" max="16"/>
    <col width="3.42578125" customWidth="1" min="17" max="17"/>
    <col width="2.7109375" customWidth="1" min="18" max="18"/>
    <col width="6.28515625" customWidth="1" min="19" max="19"/>
    <col width="27.140625" customWidth="1" min="20" max="20"/>
    <col width="8.140625" customWidth="1" min="21" max="21"/>
    <col width="6" customWidth="1" min="25" max="25"/>
    <col width="7" customWidth="1" min="26" max="26"/>
  </cols>
  <sheetData>
    <row r="1">
      <c r="A1" s="10" t="inlineStr">
        <is>
          <t>item_id</t>
        </is>
      </c>
      <c r="B1" s="10" t="inlineStr">
        <is>
          <t>template</t>
        </is>
      </c>
      <c r="C1" s="10" t="inlineStr">
        <is>
          <t>tts_type</t>
        </is>
      </c>
      <c r="D1" s="10" t="inlineStr">
        <is>
          <t>set</t>
        </is>
      </c>
      <c r="E1" s="10" t="inlineStr">
        <is>
          <t>name</t>
        </is>
      </c>
      <c r="F1" s="10" t="inlineStr">
        <is>
          <t>type</t>
        </is>
      </c>
      <c r="G1" s="10" t="inlineStr">
        <is>
          <t>subtype</t>
        </is>
      </c>
      <c r="H1" s="10" t="inlineStr">
        <is>
          <t>subsubtype</t>
        </is>
      </c>
      <c r="I1" s="10" t="inlineStr">
        <is>
          <t>tier</t>
        </is>
      </c>
      <c r="J1" s="12" t="inlineStr">
        <is>
          <t>stat</t>
        </is>
      </c>
      <c r="K1" s="12" t="inlineStr">
        <is>
          <t>damage_range</t>
        </is>
      </c>
      <c r="L1" s="12" t="inlineStr">
        <is>
          <t>damage_type</t>
        </is>
      </c>
      <c r="M1" s="12" t="inlineStr">
        <is>
          <t>damage_range2</t>
        </is>
      </c>
      <c r="N1" s="12" t="inlineStr">
        <is>
          <t>damage_type2</t>
        </is>
      </c>
      <c r="O1" s="12" t="inlineStr">
        <is>
          <t>armor_range</t>
        </is>
      </c>
      <c r="P1" s="12" t="inlineStr">
        <is>
          <t>armor_type</t>
        </is>
      </c>
      <c r="Q1" s="12" t="inlineStr">
        <is>
          <t>armor_range2</t>
        </is>
      </c>
      <c r="R1" s="12" t="inlineStr">
        <is>
          <t>armor_type2</t>
        </is>
      </c>
      <c r="S1" s="15" t="inlineStr">
        <is>
          <t>base_gold</t>
        </is>
      </c>
      <c r="T1" s="10" t="inlineStr">
        <is>
          <t>effect</t>
        </is>
      </c>
      <c r="U1" s="10" t="inlineStr">
        <is>
          <t>flavor</t>
        </is>
      </c>
      <c r="V1" s="10" t="inlineStr">
        <is>
          <t>cooldown</t>
        </is>
      </c>
      <c r="W1" s="10" t="inlineStr">
        <is>
          <t>uses</t>
        </is>
      </c>
      <c r="X1" s="15" t="inlineStr">
        <is>
          <t>gmnotes</t>
        </is>
      </c>
      <c r="Y1" s="10" t="inlineStr">
        <is>
          <t>image_front</t>
        </is>
      </c>
      <c r="Z1" s="10" t="inlineStr">
        <is>
          <t>image_back</t>
        </is>
      </c>
    </row>
    <row r="2">
      <c r="A2" t="inlineStr">
        <is>
          <t>IT1</t>
        </is>
      </c>
      <c r="B2" t="inlineStr">
        <is>
          <t>item_template</t>
        </is>
      </c>
      <c r="C2" t="inlineStr">
        <is>
          <t>tile</t>
        </is>
      </c>
      <c r="D2" t="inlineStr">
        <is>
          <t>mining</t>
        </is>
      </c>
      <c r="E2" t="inlineStr">
        <is>
          <t>Amberstone</t>
        </is>
      </c>
      <c r="F2" t="inlineStr">
        <is>
          <t>goods</t>
        </is>
      </c>
      <c r="G2" t="inlineStr">
        <is>
          <t>material</t>
        </is>
      </c>
      <c r="H2" t="inlineStr">
        <is>
          <t>ore</t>
        </is>
      </c>
      <c r="I2" t="inlineStr">
        <is>
          <t>0</t>
        </is>
      </c>
      <c r="J2">
        <f>IF(G2="","",IFERROR(IF(G2="infusing",IFERROR(LOOKUP(2,1/ISNUMBER(SEARCH(_lookup!$D$3:$D$4,H2)),_lookup!$E$3:$E$4),"INT"),VLOOKUP(G2,_lookup!$A$3:$B$14,2,FALSE)),""))</f>
        <v/>
      </c>
      <c r="K2">
        <f>IF(F2&lt;&gt;"weapon","",IF(G2="miscellaneous","1-4",IF(I2="","",IFERROR(VLOOKUP(I2&amp;"|"&amp;IF(LEFT(H2,2)="2H",2,1)&amp;"|"&amp;IF(G2="slashing",1,0),_lookup!$G$3:$H$18,2,FALSE),""))))</f>
        <v/>
      </c>
      <c r="L2">
        <f>IF(K2="","",IF(OR(G2="channeling",G2="infusing"),"Magical",IF(G2="blocking","Anti-Physical",IF(G2="warding","Anti-Magical","Physical"))))</f>
        <v/>
      </c>
      <c r="O2">
        <f>IF(F2&lt;&gt;"armor","","TBD")</f>
        <v/>
      </c>
      <c r="P2">
        <f>IF(O2="","",IF(OR(G2="channeling",G2="infusing"),"Magical",IF(G2="blocking","Anti-Physical",IF(G2="warding","Anti-Magical","Physical"))))</f>
        <v/>
      </c>
      <c r="S2" t="n">
        <v>3</v>
      </c>
      <c r="T2" t="inlineStr">
        <is>
          <t>Used to craft tier 0 Weaponsmithing weapons or Armorsmithing heavy armors and shields.</t>
        </is>
      </c>
      <c r="U2" t="inlineStr">
        <is>
          <t>Native to the Woodland, these copper stones have a unique, malleable property that make it useful for fashioning daily equipment.</t>
        </is>
      </c>
      <c r="X2" t="inlineStr">
        <is>
          <t>ore0</t>
        </is>
      </c>
      <c r="Y2" t="inlineStr">
        <is>
          <t>https://drive.google.com/uc?export=download&amp;id=1_a5uwrAod6Ng8GkAQa3DsRShH7UxdQ3W</t>
        </is>
      </c>
    </row>
    <row r="3">
      <c r="A3" t="inlineStr">
        <is>
          <t>IT2</t>
        </is>
      </c>
      <c r="B3" t="inlineStr">
        <is>
          <t>item_template</t>
        </is>
      </c>
      <c r="C3" t="inlineStr">
        <is>
          <t>tile</t>
        </is>
      </c>
      <c r="D3" t="inlineStr">
        <is>
          <t>mining</t>
        </is>
      </c>
      <c r="E3" t="inlineStr">
        <is>
          <t>Mill Copper</t>
        </is>
      </c>
      <c r="F3" t="inlineStr">
        <is>
          <t>goods</t>
        </is>
      </c>
      <c r="G3" t="inlineStr">
        <is>
          <t>material</t>
        </is>
      </c>
      <c r="H3" t="inlineStr">
        <is>
          <t>ore</t>
        </is>
      </c>
      <c r="I3" t="inlineStr">
        <is>
          <t>0</t>
        </is>
      </c>
      <c r="J3">
        <f>IF(G3="","",IFERROR(IF(G3="infusing",IFERROR(LOOKUP(2,1/ISNUMBER(SEARCH(_lookup!$D$3:$D$4,H3)),_lookup!$E$3:$E$4),"INT"),VLOOKUP(G3,_lookup!$A$3:$B$14,2,FALSE)),""))</f>
        <v/>
      </c>
      <c r="K3">
        <f>IF(F3&lt;&gt;"weapon","",IF(G3="miscellaneous","1-4",IF(I3="","",IFERROR(VLOOKUP(I3&amp;"|"&amp;IF(LEFT(H3,2)="2H",2,1)&amp;"|"&amp;IF(G3="slashing",1,0),_lookup!$G$3:$H$18,2,FALSE),""))))</f>
        <v/>
      </c>
      <c r="L3">
        <f>IF(K3="","",IF(OR(G3="channeling",G3="infusing"),"Magical",IF(G3="blocking","Anti-Physical",IF(G3="warding","Anti-Magical","Physical"))))</f>
        <v/>
      </c>
      <c r="O3">
        <f>IF(F3&lt;&gt;"armor","","TBD")</f>
        <v/>
      </c>
      <c r="P3">
        <f>IF(O3="","",IF(OR(G3="channeling",G3="infusing"),"Magical",IF(G3="blocking","Anti-Physical",IF(G3="warding","Anti-Magical","Physical"))))</f>
        <v/>
      </c>
      <c r="S3" t="n">
        <v>3</v>
      </c>
      <c r="T3" t="inlineStr">
        <is>
          <t>Used to craft tier 0 Weaponsmithing weapons or Armorsmithing heavy armors and shields.</t>
        </is>
      </c>
      <c r="U3" t="inlineStr">
        <is>
          <t>Stamped by the Marquisate mills, this mass-produced metal rivals the reliability of Amberstone.</t>
        </is>
      </c>
      <c r="X3" t="inlineStr">
        <is>
          <t>ore0</t>
        </is>
      </c>
      <c r="Y3" t="inlineStr">
        <is>
          <t>https://drive.google.com/uc?export=download&amp;id=1utBTnuoZ1QIfLl264KWZbkUl7HtMo3__</t>
        </is>
      </c>
    </row>
    <row r="4">
      <c r="A4" t="inlineStr">
        <is>
          <t>IT3</t>
        </is>
      </c>
      <c r="B4" t="inlineStr">
        <is>
          <t>item_template</t>
        </is>
      </c>
      <c r="C4" t="inlineStr">
        <is>
          <t>tile</t>
        </is>
      </c>
      <c r="D4" t="inlineStr">
        <is>
          <t>mining</t>
        </is>
      </c>
      <c r="E4" t="inlineStr">
        <is>
          <t>Burrow Iron</t>
        </is>
      </c>
      <c r="F4" t="inlineStr">
        <is>
          <t>goods</t>
        </is>
      </c>
      <c r="G4" t="inlineStr">
        <is>
          <t>material</t>
        </is>
      </c>
      <c r="H4" t="inlineStr">
        <is>
          <t>ore</t>
        </is>
      </c>
      <c r="I4" t="inlineStr">
        <is>
          <t>1</t>
        </is>
      </c>
      <c r="J4">
        <f>IF(G4="","",IFERROR(IF(G4="infusing",IFERROR(LOOKUP(2,1/ISNUMBER(SEARCH(_lookup!$D$3:$D$4,H4)),_lookup!$E$3:$E$4),"INT"),VLOOKUP(G4,_lookup!$A$3:$B$14,2,FALSE)),""))</f>
        <v/>
      </c>
      <c r="K4">
        <f>IF(F4&lt;&gt;"weapon","",IF(G4="miscellaneous","1-4",IF(I4="","",IFERROR(VLOOKUP(I4&amp;"|"&amp;IF(LEFT(H4,2)="2H",2,1)&amp;"|"&amp;IF(G4="slashing",1,0),_lookup!$G$3:$H$18,2,FALSE),""))))</f>
        <v/>
      </c>
      <c r="L4">
        <f>IF(K4="","",IF(OR(G4="channeling",G4="infusing"),"Magical",IF(G4="blocking","Anti-Physical",IF(G4="warding","Anti-Magical","Physical"))))</f>
        <v/>
      </c>
      <c r="O4">
        <f>IF(F4&lt;&gt;"armor","","TBD")</f>
        <v/>
      </c>
      <c r="P4">
        <f>IF(O4="","",IF(OR(G4="channeling",G4="infusing"),"Magical",IF(G4="blocking","Anti-Physical",IF(G4="warding","Anti-Magical","Physical"))))</f>
        <v/>
      </c>
      <c r="S4" t="n">
        <v>9</v>
      </c>
      <c r="T4" t="inlineStr">
        <is>
          <t>Used to craft tier 1 Weaponsmithing weapons or Armorsmithing heavy armors and shields.</t>
        </is>
      </c>
      <c r="U4" t="inlineStr">
        <is>
          <t>Named after the faction that first dug it up, this cold ore smells faintly of damp autumn soil.</t>
        </is>
      </c>
      <c r="X4" t="inlineStr">
        <is>
          <t>ore1</t>
        </is>
      </c>
      <c r="Y4" t="inlineStr">
        <is>
          <t>https://drive.google.com/uc?export=download&amp;id=1ngYo7TzWaQswib4wWAreW-3JV09wUrTB</t>
        </is>
      </c>
    </row>
    <row r="5">
      <c r="A5" t="inlineStr">
        <is>
          <t>IT4</t>
        </is>
      </c>
      <c r="B5" t="inlineStr">
        <is>
          <t>item_template</t>
        </is>
      </c>
      <c r="C5" t="inlineStr">
        <is>
          <t>tile</t>
        </is>
      </c>
      <c r="D5" t="inlineStr">
        <is>
          <t>mining</t>
        </is>
      </c>
      <c r="E5" t="inlineStr">
        <is>
          <t>Mill Iron</t>
        </is>
      </c>
      <c r="F5" t="inlineStr">
        <is>
          <t>goods</t>
        </is>
      </c>
      <c r="G5" t="inlineStr">
        <is>
          <t>material</t>
        </is>
      </c>
      <c r="H5" t="inlineStr">
        <is>
          <t>ore</t>
        </is>
      </c>
      <c r="I5" t="inlineStr">
        <is>
          <t>1</t>
        </is>
      </c>
      <c r="J5">
        <f>IF(G5="","",IFERROR(IF(G5="infusing",IFERROR(LOOKUP(2,1/ISNUMBER(SEARCH(_lookup!$D$3:$D$4,H5)),_lookup!$E$3:$E$4),"INT"),VLOOKUP(G5,_lookup!$A$3:$B$14,2,FALSE)),""))</f>
        <v/>
      </c>
      <c r="K5">
        <f>IF(F5&lt;&gt;"weapon","",IF(G5="miscellaneous","1-4",IF(I5="","",IFERROR(VLOOKUP(I5&amp;"|"&amp;IF(LEFT(H5,2)="2H",2,1)&amp;"|"&amp;IF(G5="slashing",1,0),_lookup!$G$3:$H$18,2,FALSE),""))))</f>
        <v/>
      </c>
      <c r="L5">
        <f>IF(K5="","",IF(OR(G5="channeling",G5="infusing"),"Magical",IF(G5="blocking","Anti-Physical",IF(G5="warding","Anti-Magical","Physical"))))</f>
        <v/>
      </c>
      <c r="O5">
        <f>IF(F5&lt;&gt;"armor","","TBD")</f>
        <v/>
      </c>
      <c r="P5">
        <f>IF(O5="","",IF(OR(G5="channeling",G5="infusing"),"Magical",IF(G5="blocking","Anti-Physical",IF(G5="warding","Anti-Magical","Physical"))))</f>
        <v/>
      </c>
      <c r="S5" t="n">
        <v>9</v>
      </c>
      <c r="T5" t="inlineStr">
        <is>
          <t>Used to craft tier 1 Weaponsmithing weapons or Armorsmithing heavy armors and shields.</t>
        </is>
      </c>
      <c r="U5" t="inlineStr">
        <is>
          <t>While famously known as the signature metal of the Marquisate's armies, its production remains a guarded industrial secret.</t>
        </is>
      </c>
      <c r="X5" t="inlineStr">
        <is>
          <t>ore1</t>
        </is>
      </c>
      <c r="Y5" t="inlineStr">
        <is>
          <t>https://drive.google.com/uc?export=download&amp;id=1ik08EUjvQBwmTu2MCJ9eBEgpCMer-RsD</t>
        </is>
      </c>
    </row>
    <row r="6">
      <c r="A6" t="inlineStr">
        <is>
          <t>IT5</t>
        </is>
      </c>
      <c r="B6" t="inlineStr">
        <is>
          <t>item_template</t>
        </is>
      </c>
      <c r="C6" t="inlineStr">
        <is>
          <t>tile</t>
        </is>
      </c>
      <c r="D6" t="inlineStr">
        <is>
          <t>mining</t>
        </is>
      </c>
      <c r="E6" t="inlineStr">
        <is>
          <t>Silver</t>
        </is>
      </c>
      <c r="F6" t="inlineStr">
        <is>
          <t>goods</t>
        </is>
      </c>
      <c r="G6" t="inlineStr">
        <is>
          <t>material</t>
        </is>
      </c>
      <c r="H6" t="inlineStr">
        <is>
          <t>ore</t>
        </is>
      </c>
      <c r="I6" t="inlineStr">
        <is>
          <t>2</t>
        </is>
      </c>
      <c r="J6">
        <f>IF(G6="","",IFERROR(IF(G6="infusing",IFERROR(LOOKUP(2,1/ISNUMBER(SEARCH(_lookup!$D$3:$D$4,H6)),_lookup!$E$3:$E$4),"INT"),VLOOKUP(G6,_lookup!$A$3:$B$14,2,FALSE)),""))</f>
        <v/>
      </c>
      <c r="K6">
        <f>IF(F6&lt;&gt;"weapon","",IF(G6="miscellaneous","1-4",IF(I6="","",IFERROR(VLOOKUP(I6&amp;"|"&amp;IF(LEFT(H6,2)="2H",2,1)&amp;"|"&amp;IF(G6="slashing",1,0),_lookup!$G$3:$H$18,2,FALSE),""))))</f>
        <v/>
      </c>
      <c r="L6">
        <f>IF(K6="","",IF(OR(G6="channeling",G6="infusing"),"Magical",IF(G6="blocking","Anti-Physical",IF(G6="warding","Anti-Magical","Physical"))))</f>
        <v/>
      </c>
      <c r="O6">
        <f>IF(F6&lt;&gt;"armor","","TBD")</f>
        <v/>
      </c>
      <c r="P6">
        <f>IF(O6="","",IF(OR(G6="channeling",G6="infusing"),"Magical",IF(G6="blocking","Anti-Physical",IF(G6="warding","Anti-Magical","Physical"))))</f>
        <v/>
      </c>
      <c r="S6" t="n">
        <v>36</v>
      </c>
      <c r="T6" t="inlineStr">
        <is>
          <t>Used to craft tier 2 Weaponsmithing weapons or Armorsmithing heavy armors and shields.</t>
        </is>
      </c>
      <c r="U6" t="inlineStr">
        <is>
          <t>A precious metal used by ambitious factions to mint coin, purchase allegiance, or forge elegant symbols of authority.</t>
        </is>
      </c>
      <c r="X6" t="inlineStr">
        <is>
          <t>ore2</t>
        </is>
      </c>
      <c r="Y6" t="inlineStr">
        <is>
          <t>https://drive.google.com/uc?export=download&amp;id=1PyM4XzjeZTvJQX1KdQBtY19XcTxg5pQG</t>
        </is>
      </c>
    </row>
    <row r="7">
      <c r="A7" t="inlineStr">
        <is>
          <t>IT6</t>
        </is>
      </c>
      <c r="B7" t="inlineStr">
        <is>
          <t>item_template</t>
        </is>
      </c>
      <c r="C7" t="inlineStr">
        <is>
          <t>tile</t>
        </is>
      </c>
      <c r="D7" t="inlineStr">
        <is>
          <t>mining</t>
        </is>
      </c>
      <c r="E7" t="inlineStr">
        <is>
          <t>Eyriesteel</t>
        </is>
      </c>
      <c r="F7" t="inlineStr">
        <is>
          <t>goods</t>
        </is>
      </c>
      <c r="G7" t="inlineStr">
        <is>
          <t>material</t>
        </is>
      </c>
      <c r="H7" t="inlineStr">
        <is>
          <t>ore</t>
        </is>
      </c>
      <c r="I7" t="inlineStr">
        <is>
          <t>2</t>
        </is>
      </c>
      <c r="J7">
        <f>IF(G7="","",IFERROR(IF(G7="infusing",IFERROR(LOOKUP(2,1/ISNUMBER(SEARCH(_lookup!$D$3:$D$4,H7)),_lookup!$E$3:$E$4),"INT"),VLOOKUP(G7,_lookup!$A$3:$B$14,2,FALSE)),""))</f>
        <v/>
      </c>
      <c r="K7">
        <f>IF(F7&lt;&gt;"weapon","",IF(G7="miscellaneous","1-4",IF(I7="","",IFERROR(VLOOKUP(I7&amp;"|"&amp;IF(LEFT(H7,2)="2H",2,1)&amp;"|"&amp;IF(G7="slashing",1,0),_lookup!$G$3:$H$18,2,FALSE),""))))</f>
        <v/>
      </c>
      <c r="L7">
        <f>IF(K7="","",IF(OR(G7="channeling",G7="infusing"),"Magical",IF(G7="blocking","Anti-Physical",IF(G7="warding","Anti-Magical","Physical"))))</f>
        <v/>
      </c>
      <c r="O7">
        <f>IF(F7&lt;&gt;"armor","","TBD")</f>
        <v/>
      </c>
      <c r="P7">
        <f>IF(O7="","",IF(OR(G7="channeling",G7="infusing"),"Magical",IF(G7="blocking","Anti-Physical",IF(G7="warding","Anti-Magical","Physical"))))</f>
        <v/>
      </c>
      <c r="S7" t="n">
        <v>36</v>
      </c>
      <c r="T7" t="inlineStr">
        <is>
          <t>Used to craft tier 2 Weaponsmithing weapons or Armorsmithing heavy armors and shields.</t>
        </is>
      </c>
      <c r="U7" t="inlineStr">
        <is>
          <t>Regally strong, this polished metal reflects the unyielding pride and ancient military might of the Eyrie Dynasty.</t>
        </is>
      </c>
      <c r="X7" t="inlineStr">
        <is>
          <t>ore2</t>
        </is>
      </c>
      <c r="Y7" t="inlineStr">
        <is>
          <t>https://drive.google.com/uc?export=download&amp;id=1Ep8L_2uiKNnMTI0qXFN616lI61R_amWD</t>
        </is>
      </c>
    </row>
    <row r="8">
      <c r="A8" t="inlineStr">
        <is>
          <t>IT7</t>
        </is>
      </c>
      <c r="B8" t="inlineStr">
        <is>
          <t>item_template</t>
        </is>
      </c>
      <c r="C8" t="inlineStr">
        <is>
          <t>tile</t>
        </is>
      </c>
      <c r="D8" t="inlineStr">
        <is>
          <t>mining</t>
        </is>
      </c>
      <c r="E8" t="inlineStr">
        <is>
          <t>Truesilver</t>
        </is>
      </c>
      <c r="F8" t="inlineStr">
        <is>
          <t>goods</t>
        </is>
      </c>
      <c r="G8" t="inlineStr">
        <is>
          <t>material</t>
        </is>
      </c>
      <c r="H8" t="inlineStr">
        <is>
          <t>ore</t>
        </is>
      </c>
      <c r="I8" t="inlineStr">
        <is>
          <t>3</t>
        </is>
      </c>
      <c r="J8">
        <f>IF(G8="","",IFERROR(IF(G8="infusing",IFERROR(LOOKUP(2,1/ISNUMBER(SEARCH(_lookup!$D$3:$D$4,H8)),_lookup!$E$3:$E$4),"INT"),VLOOKUP(G8,_lookup!$A$3:$B$14,2,FALSE)),""))</f>
        <v/>
      </c>
      <c r="K8">
        <f>IF(F8&lt;&gt;"weapon","",IF(G8="miscellaneous","1-4",IF(I8="","",IFERROR(VLOOKUP(I8&amp;"|"&amp;IF(LEFT(H8,2)="2H",2,1)&amp;"|"&amp;IF(G8="slashing",1,0),_lookup!$G$3:$H$18,2,FALSE),""))))</f>
        <v/>
      </c>
      <c r="L8">
        <f>IF(K8="","",IF(OR(G8="channeling",G8="infusing"),"Magical",IF(G8="blocking","Anti-Physical",IF(G8="warding","Anti-Magical","Physical"))))</f>
        <v/>
      </c>
      <c r="O8">
        <f>IF(F8&lt;&gt;"armor","","TBD")</f>
        <v/>
      </c>
      <c r="P8">
        <f>IF(O8="","",IF(OR(G8="channeling",G8="infusing"),"Magical",IF(G8="blocking","Anti-Physical",IF(G8="warding","Anti-Magical","Physical"))))</f>
        <v/>
      </c>
      <c r="S8" t="n">
        <v>100</v>
      </c>
      <c r="T8" t="inlineStr">
        <is>
          <t>Used to craft tier 3 Weaponsmithing weapons or Armorsmithing heavy armors and shields.</t>
        </is>
      </c>
      <c r="U8" t="inlineStr">
        <is>
          <t>A legendary, moon-bright metal sought by every faction, whispered to be as light as a feather yet stronger than tempered steel.</t>
        </is>
      </c>
      <c r="X8" t="inlineStr">
        <is>
          <t>ore3</t>
        </is>
      </c>
      <c r="Y8" t="inlineStr">
        <is>
          <t>https://drive.google.com/uc?export=download&amp;id=1CgdIHu46YReFdMGO-Kogmq45HmG5cPoj</t>
        </is>
      </c>
    </row>
    <row r="9">
      <c r="A9" t="inlineStr">
        <is>
          <t>IT8</t>
        </is>
      </c>
      <c r="B9" t="inlineStr">
        <is>
          <t>item_template</t>
        </is>
      </c>
      <c r="C9" t="inlineStr">
        <is>
          <t>tile</t>
        </is>
      </c>
      <c r="D9" t="inlineStr">
        <is>
          <t>mining</t>
        </is>
      </c>
      <c r="E9" t="inlineStr">
        <is>
          <t>Truesilver Bar</t>
        </is>
      </c>
      <c r="F9" t="inlineStr">
        <is>
          <t>goods</t>
        </is>
      </c>
      <c r="G9" t="inlineStr">
        <is>
          <t>material</t>
        </is>
      </c>
      <c r="H9" t="inlineStr">
        <is>
          <t>ore</t>
        </is>
      </c>
      <c r="I9" t="inlineStr">
        <is>
          <t>3</t>
        </is>
      </c>
      <c r="J9">
        <f>IF(G9="","",IFERROR(IF(G9="infusing",IFERROR(LOOKUP(2,1/ISNUMBER(SEARCH(_lookup!$D$3:$D$4,H9)),_lookup!$E$3:$E$4),"INT"),VLOOKUP(G9,_lookup!$A$3:$B$14,2,FALSE)),""))</f>
        <v/>
      </c>
      <c r="K9">
        <f>IF(F9&lt;&gt;"weapon","",IF(G9="miscellaneous","1-4",IF(I9="","",IFERROR(VLOOKUP(I9&amp;"|"&amp;IF(LEFT(H9,2)="2H",2,1)&amp;"|"&amp;IF(G9="slashing",1,0),_lookup!$G$3:$H$18,2,FALSE),""))))</f>
        <v/>
      </c>
      <c r="L9">
        <f>IF(K9="","",IF(OR(G9="channeling",G9="infusing"),"Magical",IF(G9="blocking","Anti-Physical",IF(G9="warding","Anti-Magical","Physical"))))</f>
        <v/>
      </c>
      <c r="O9">
        <f>IF(F9&lt;&gt;"armor","","TBD")</f>
        <v/>
      </c>
      <c r="P9">
        <f>IF(O9="","",IF(OR(G9="channeling",G9="infusing"),"Magical",IF(G9="blocking","Anti-Physical",IF(G9="warding","Anti-Magical","Physical"))))</f>
        <v/>
      </c>
      <c r="S9" t="n">
        <v>100</v>
      </c>
      <c r="T9" t="inlineStr">
        <is>
          <t>Used to craft tier 3 Weaponsmithing weapons or Armorsmithing heavy armors and shields.</t>
        </is>
      </c>
      <c r="U9" t="inlineStr">
        <is>
          <t>A flawlessly smelted bar of legendary metal, glowing with a faint inner light and ready to be forged into the woodland’s greatest relics.</t>
        </is>
      </c>
      <c r="X9" t="inlineStr">
        <is>
          <t>ore3</t>
        </is>
      </c>
      <c r="Y9" t="inlineStr">
        <is>
          <t>https://drive.google.com/uc?export=download&amp;id=1PVzqT1xPogQa9KufxHWpg17296Y7fV5P</t>
        </is>
      </c>
    </row>
    <row r="10">
      <c r="A10" t="inlineStr">
        <is>
          <t>IT9</t>
        </is>
      </c>
      <c r="B10" t="inlineStr">
        <is>
          <t>item_template</t>
        </is>
      </c>
      <c r="C10" t="inlineStr">
        <is>
          <t>tile</t>
        </is>
      </c>
      <c r="D10" t="inlineStr">
        <is>
          <t>mining</t>
        </is>
      </c>
      <c r="E10" t="inlineStr">
        <is>
          <t>Riverglass</t>
        </is>
      </c>
      <c r="F10" t="inlineStr">
        <is>
          <t>goods</t>
        </is>
      </c>
      <c r="G10" t="inlineStr">
        <is>
          <t>material</t>
        </is>
      </c>
      <c r="H10" t="inlineStr">
        <is>
          <t>gem</t>
        </is>
      </c>
      <c r="I10" t="inlineStr">
        <is>
          <t>0</t>
        </is>
      </c>
      <c r="J10">
        <f>IF(G10="","",IFERROR(IF(G10="infusing",IFERROR(LOOKUP(2,1/ISNUMBER(SEARCH(_lookup!$D$3:$D$4,H10)),_lookup!$E$3:$E$4),"INT"),VLOOKUP(G10,_lookup!$A$3:$B$14,2,FALSE)),""))</f>
        <v/>
      </c>
      <c r="K10">
        <f>IF(F10&lt;&gt;"weapon","",IF(G10="miscellaneous","1-4",IF(I10="","",IFERROR(VLOOKUP(I10&amp;"|"&amp;IF(LEFT(H10,2)="2H",2,1)&amp;"|"&amp;IF(G10="slashing",1,0),_lookup!$G$3:$H$18,2,FALSE),""))))</f>
        <v/>
      </c>
      <c r="L10">
        <f>IF(K10="","",IF(OR(G10="channeling",G10="infusing"),"Magical",IF(G10="blocking","Anti-Physical",IF(G10="warding","Anti-Magical","Physical"))))</f>
        <v/>
      </c>
      <c r="O10">
        <f>IF(F10&lt;&gt;"armor","","TBD")</f>
        <v/>
      </c>
      <c r="P10">
        <f>IF(O10="","",IF(OR(G10="channeling",G10="infusing"),"Magical",IF(G10="blocking","Anti-Physical",IF(G10="warding","Anti-Magical","Physical"))))</f>
        <v/>
      </c>
      <c r="S10" t="n">
        <v>3</v>
      </c>
      <c r="T10" t="inlineStr">
        <is>
          <t>Used to craft tier 0 Jewelcrafting trinkets.</t>
        </is>
      </c>
      <c r="U10" t="inlineStr">
        <is>
          <t>Despite its smooth and polished appearance, this green gem is only found within ore veins, often far from the water.</t>
        </is>
      </c>
      <c r="X10" t="inlineStr">
        <is>
          <t>gem0</t>
        </is>
      </c>
      <c r="Y10" s="7" t="inlineStr">
        <is>
          <t>https://drive.google.com/uc?export=download&amp;id=1SLregdXIDHCXrahi4M1eLyB2G7hsAlr_</t>
        </is>
      </c>
    </row>
    <row r="11">
      <c r="A11" t="inlineStr">
        <is>
          <t>IT10</t>
        </is>
      </c>
      <c r="B11" t="inlineStr">
        <is>
          <t>item_template</t>
        </is>
      </c>
      <c r="C11" t="inlineStr">
        <is>
          <t>tile</t>
        </is>
      </c>
      <c r="D11" t="inlineStr">
        <is>
          <t>mining</t>
        </is>
      </c>
      <c r="E11" t="inlineStr">
        <is>
          <t>Deep Quartz</t>
        </is>
      </c>
      <c r="F11" t="inlineStr">
        <is>
          <t>goods</t>
        </is>
      </c>
      <c r="G11" t="inlineStr">
        <is>
          <t>material</t>
        </is>
      </c>
      <c r="H11" t="inlineStr">
        <is>
          <t>gem</t>
        </is>
      </c>
      <c r="I11" t="inlineStr">
        <is>
          <t>1</t>
        </is>
      </c>
      <c r="J11">
        <f>IF(G11="","",IFERROR(IF(G11="infusing",IFERROR(LOOKUP(2,1/ISNUMBER(SEARCH(_lookup!$D$3:$D$4,H11)),_lookup!$E$3:$E$4),"INT"),VLOOKUP(G11,_lookup!$A$3:$B$14,2,FALSE)),""))</f>
        <v/>
      </c>
      <c r="K11">
        <f>IF(F11&lt;&gt;"weapon","",IF(G11="miscellaneous","1-4",IF(I11="","",IFERROR(VLOOKUP(I11&amp;"|"&amp;IF(LEFT(H11,2)="2H",2,1)&amp;"|"&amp;IF(G11="slashing",1,0),_lookup!$G$3:$H$18,2,FALSE),""))))</f>
        <v/>
      </c>
      <c r="L11">
        <f>IF(K11="","",IF(OR(G11="channeling",G11="infusing"),"Magical",IF(G11="blocking","Anti-Physical",IF(G11="warding","Anti-Magical","Physical"))))</f>
        <v/>
      </c>
      <c r="O11">
        <f>IF(F11&lt;&gt;"armor","","TBD")</f>
        <v/>
      </c>
      <c r="P11">
        <f>IF(O11="","",IF(OR(G11="channeling",G11="infusing"),"Magical",IF(G11="blocking","Anti-Physical",IF(G11="warding","Anti-Magical","Physical"))))</f>
        <v/>
      </c>
      <c r="S11" t="n">
        <v>11</v>
      </c>
      <c r="T11" t="inlineStr">
        <is>
          <t>Used to craft tier 1 Jewelcrafting trinkets.</t>
        </is>
      </c>
      <c r="U11" t="inlineStr">
        <is>
          <t>A bright, yellow crystal mined from the suffocatingly deep caverns of the world.</t>
        </is>
      </c>
      <c r="X11" t="inlineStr">
        <is>
          <t>gem1</t>
        </is>
      </c>
      <c r="Y11" t="inlineStr">
        <is>
          <t>https://drive.google.com/uc?export=download&amp;id=1ZAWydmErIxi5antngVWsFLGzcV1cFaEW</t>
        </is>
      </c>
    </row>
    <row r="12">
      <c r="A12" t="inlineStr">
        <is>
          <t>IT11</t>
        </is>
      </c>
      <c r="B12" t="inlineStr">
        <is>
          <t>item_template</t>
        </is>
      </c>
      <c r="C12" t="inlineStr">
        <is>
          <t>tile</t>
        </is>
      </c>
      <c r="D12" t="inlineStr">
        <is>
          <t>mining</t>
        </is>
      </c>
      <c r="E12" t="inlineStr">
        <is>
          <t>Royal Ruby</t>
        </is>
      </c>
      <c r="F12" t="inlineStr">
        <is>
          <t>goods</t>
        </is>
      </c>
      <c r="G12" t="inlineStr">
        <is>
          <t>material</t>
        </is>
      </c>
      <c r="H12" t="inlineStr">
        <is>
          <t>gem</t>
        </is>
      </c>
      <c r="I12" t="inlineStr">
        <is>
          <t>2</t>
        </is>
      </c>
      <c r="J12">
        <f>IF(G12="","",IFERROR(IF(G12="infusing",IFERROR(LOOKUP(2,1/ISNUMBER(SEARCH(_lookup!$D$3:$D$4,H12)),_lookup!$E$3:$E$4),"INT"),VLOOKUP(G12,_lookup!$A$3:$B$14,2,FALSE)),""))</f>
        <v/>
      </c>
      <c r="K12">
        <f>IF(F12&lt;&gt;"weapon","",IF(G12="miscellaneous","1-4",IF(I12="","",IFERROR(VLOOKUP(I12&amp;"|"&amp;IF(LEFT(H12,2)="2H",2,1)&amp;"|"&amp;IF(G12="slashing",1,0),_lookup!$G$3:$H$18,2,FALSE),""))))</f>
        <v/>
      </c>
      <c r="L12">
        <f>IF(K12="","",IF(OR(G12="channeling",G12="infusing"),"Magical",IF(G12="blocking","Anti-Physical",IF(G12="warding","Anti-Magical","Physical"))))</f>
        <v/>
      </c>
      <c r="O12">
        <f>IF(F12&lt;&gt;"armor","","TBD")</f>
        <v/>
      </c>
      <c r="P12">
        <f>IF(O12="","",IF(OR(G12="channeling",G12="infusing"),"Magical",IF(G12="blocking","Anti-Physical",IF(G12="warding","Anti-Magical","Physical"))))</f>
        <v/>
      </c>
      <c r="S12" t="n">
        <v>45</v>
      </c>
      <c r="T12" t="inlineStr">
        <is>
          <t>Used to craft tier 2 Jewelcrafting trinkets.</t>
        </is>
      </c>
      <c r="U12" t="inlineStr">
        <is>
          <t>Fiercely fought over by aristocratic factions, this brilliant ruby is the ultimate symbol of high status and sovereign authority.</t>
        </is>
      </c>
      <c r="X12" t="inlineStr">
        <is>
          <t>gem2</t>
        </is>
      </c>
      <c r="Y12" t="inlineStr">
        <is>
          <t>https://drive.google.com/uc?export=download&amp;id=1p7mkkzdnHjzNSexVphkU4wE8FwjGdry-</t>
        </is>
      </c>
    </row>
    <row r="13">
      <c r="A13" t="inlineStr">
        <is>
          <t>IT12</t>
        </is>
      </c>
      <c r="B13" t="inlineStr">
        <is>
          <t>item_template</t>
        </is>
      </c>
      <c r="C13" t="inlineStr">
        <is>
          <t>tile</t>
        </is>
      </c>
      <c r="D13" t="inlineStr">
        <is>
          <t>mining</t>
        </is>
      </c>
      <c r="E13" t="inlineStr">
        <is>
          <t>Shadowgem</t>
        </is>
      </c>
      <c r="F13" t="inlineStr">
        <is>
          <t>goods</t>
        </is>
      </c>
      <c r="G13" t="inlineStr">
        <is>
          <t>material</t>
        </is>
      </c>
      <c r="H13" t="inlineStr">
        <is>
          <t>gem</t>
        </is>
      </c>
      <c r="I13" t="inlineStr">
        <is>
          <t>3</t>
        </is>
      </c>
      <c r="J13">
        <f>IF(G13="","",IFERROR(IF(G13="infusing",IFERROR(LOOKUP(2,1/ISNUMBER(SEARCH(_lookup!$D$3:$D$4,H13)),_lookup!$E$3:$E$4),"INT"),VLOOKUP(G13,_lookup!$A$3:$B$14,2,FALSE)),""))</f>
        <v/>
      </c>
      <c r="K13">
        <f>IF(F13&lt;&gt;"weapon","",IF(G13="miscellaneous","1-4",IF(I13="","",IFERROR(VLOOKUP(I13&amp;"|"&amp;IF(LEFT(H13,2)="2H",2,1)&amp;"|"&amp;IF(G13="slashing",1,0),_lookup!$G$3:$H$18,2,FALSE),""))))</f>
        <v/>
      </c>
      <c r="L13">
        <f>IF(K13="","",IF(OR(G13="channeling",G13="infusing"),"Magical",IF(G13="blocking","Anti-Physical",IF(G13="warding","Anti-Magical","Physical"))))</f>
        <v/>
      </c>
      <c r="O13">
        <f>IF(F13&lt;&gt;"armor","","TBD")</f>
        <v/>
      </c>
      <c r="P13">
        <f>IF(O13="","",IF(OR(G13="channeling",G13="infusing"),"Magical",IF(G13="blocking","Anti-Physical",IF(G13="warding","Anti-Magical","Physical"))))</f>
        <v/>
      </c>
      <c r="S13" t="n">
        <v>125</v>
      </c>
      <c r="T13" t="inlineStr">
        <is>
          <t>Used to craft tier 3 Jewelcrafting trinkets.</t>
        </is>
      </c>
      <c r="U13" t="inlineStr">
        <is>
          <t>A deep purple stone that seems to swallow the light. Its uses are unknown, but its beauty entices even the most cautious buyers.</t>
        </is>
      </c>
      <c r="X13" t="inlineStr">
        <is>
          <t>gem3</t>
        </is>
      </c>
      <c r="Y13" t="inlineStr">
        <is>
          <t>https://drive.google.com/uc?export=download&amp;id=1siJAXuly8GOoukB583JgRkYSBZDqg0QV</t>
        </is>
      </c>
    </row>
    <row r="14">
      <c r="A14" t="inlineStr">
        <is>
          <t>IT13</t>
        </is>
      </c>
      <c r="B14" t="inlineStr">
        <is>
          <t>item_template</t>
        </is>
      </c>
      <c r="C14" t="inlineStr">
        <is>
          <t>tile</t>
        </is>
      </c>
      <c r="D14" t="inlineStr">
        <is>
          <t>mining</t>
        </is>
      </c>
      <c r="E14" t="inlineStr">
        <is>
          <t>Moonstone</t>
        </is>
      </c>
      <c r="F14" t="inlineStr">
        <is>
          <t>goods</t>
        </is>
      </c>
      <c r="G14" t="inlineStr">
        <is>
          <t>material</t>
        </is>
      </c>
      <c r="H14" t="inlineStr">
        <is>
          <t>gem</t>
        </is>
      </c>
      <c r="I14" t="inlineStr">
        <is>
          <t>3</t>
        </is>
      </c>
      <c r="J14">
        <f>IF(G14="","",IFERROR(IF(G14="infusing",IFERROR(LOOKUP(2,1/ISNUMBER(SEARCH(_lookup!$D$3:$D$4,H14)),_lookup!$E$3:$E$4),"INT"),VLOOKUP(G14,_lookup!$A$3:$B$14,2,FALSE)),""))</f>
        <v/>
      </c>
      <c r="K14">
        <f>IF(F14&lt;&gt;"weapon","",IF(G14="miscellaneous","1-4",IF(I14="","",IFERROR(VLOOKUP(I14&amp;"|"&amp;IF(LEFT(H14,2)="2H",2,1)&amp;"|"&amp;IF(G14="slashing",1,0),_lookup!$G$3:$H$18,2,FALSE),""))))</f>
        <v/>
      </c>
      <c r="L14">
        <f>IF(K14="","",IF(OR(G14="channeling",G14="infusing"),"Magical",IF(G14="blocking","Anti-Physical",IF(G14="warding","Anti-Magical","Physical"))))</f>
        <v/>
      </c>
      <c r="O14">
        <f>IF(F14&lt;&gt;"armor","","TBD")</f>
        <v/>
      </c>
      <c r="P14">
        <f>IF(O14="","",IF(OR(G14="channeling",G14="infusing"),"Magical",IF(G14="blocking","Anti-Physical",IF(G14="warding","Anti-Magical","Physical"))))</f>
        <v/>
      </c>
      <c r="S14" t="n">
        <v>125</v>
      </c>
      <c r="T14" t="inlineStr">
        <is>
          <t>Used to craft tier 3 Jewelcrafting trinkets.</t>
        </is>
      </c>
      <c r="U14" t="inlineStr">
        <is>
          <t>A glowing cyan gem that mirrors the cold night sky, said by woodland mystics to bring good fortune to those who travel after dark.</t>
        </is>
      </c>
      <c r="X14" t="inlineStr">
        <is>
          <t>gem3</t>
        </is>
      </c>
      <c r="Y14" t="inlineStr">
        <is>
          <t>https://drive.google.com/uc?export=download&amp;id=1KMimIV61oBYMt06wuK8LXmVNmKWxE81S</t>
        </is>
      </c>
    </row>
    <row r="15">
      <c r="A15" t="inlineStr">
        <is>
          <t>IT14</t>
        </is>
      </c>
      <c r="B15" t="inlineStr">
        <is>
          <t>item_template</t>
        </is>
      </c>
      <c r="C15" t="inlineStr">
        <is>
          <t>tile</t>
        </is>
      </c>
      <c r="D15" t="inlineStr">
        <is>
          <t>mining</t>
        </is>
      </c>
      <c r="E15" t="inlineStr">
        <is>
          <t>Rock</t>
        </is>
      </c>
      <c r="F15" t="inlineStr">
        <is>
          <t>goods</t>
        </is>
      </c>
      <c r="G15" t="inlineStr">
        <is>
          <t>junk</t>
        </is>
      </c>
      <c r="I15" t="inlineStr">
        <is>
          <t>0</t>
        </is>
      </c>
      <c r="J15">
        <f>IF(G15="","",IFERROR(IF(G15="infusing",IFERROR(LOOKUP(2,1/ISNUMBER(SEARCH(_lookup!$D$3:$D$4,H15)),_lookup!$E$3:$E$4),"INT"),VLOOKUP(G15,_lookup!$A$3:$B$14,2,FALSE)),""))</f>
        <v/>
      </c>
      <c r="K15">
        <f>IF(F15&lt;&gt;"weapon","",IF(G15="miscellaneous","1-4",IF(I15="","",IFERROR(VLOOKUP(I15&amp;"|"&amp;IF(LEFT(H15,2)="2H",2,1)&amp;"|"&amp;IF(G15="slashing",1,0),_lookup!$G$3:$H$18,2,FALSE),""))))</f>
        <v/>
      </c>
      <c r="L15">
        <f>IF(K15="","",IF(OR(G15="channeling",G15="infusing"),"Magical",IF(G15="blocking","Anti-Physical",IF(G15="warding","Anti-Magical","Physical"))))</f>
        <v/>
      </c>
      <c r="O15">
        <f>IF(F15&lt;&gt;"armor","","TBD")</f>
        <v/>
      </c>
      <c r="P15">
        <f>IF(O15="","",IF(OR(G15="channeling",G15="infusing"),"Magical",IF(G15="blocking","Anti-Physical",IF(G15="warding","Anti-Magical","Physical"))))</f>
        <v/>
      </c>
      <c r="S15" t="n">
        <v>1</v>
      </c>
      <c r="U15" t="inlineStr">
        <is>
          <t>A rock. You picked it up for reasons that made sense at the time.</t>
        </is>
      </c>
      <c r="Y15" t="inlineStr">
        <is>
          <t>https://drive.google.com/uc?export=download&amp;id=1i2FgUyYLCZM8BGwJVtbr_G4ddVMsojMw</t>
        </is>
      </c>
    </row>
    <row r="16">
      <c r="A16" t="inlineStr">
        <is>
          <t>IT15</t>
        </is>
      </c>
      <c r="B16" t="inlineStr">
        <is>
          <t>item_template</t>
        </is>
      </c>
      <c r="C16" t="inlineStr">
        <is>
          <t>tile</t>
        </is>
      </c>
      <c r="D16" t="inlineStr">
        <is>
          <t>mining</t>
        </is>
      </c>
      <c r="E16" t="inlineStr">
        <is>
          <t>Rough Stone</t>
        </is>
      </c>
      <c r="F16" t="inlineStr">
        <is>
          <t>goods</t>
        </is>
      </c>
      <c r="G16" t="inlineStr">
        <is>
          <t>material</t>
        </is>
      </c>
      <c r="H16" t="inlineStr">
        <is>
          <t>stone</t>
        </is>
      </c>
      <c r="I16" t="inlineStr">
        <is>
          <t>0</t>
        </is>
      </c>
      <c r="J16">
        <f>IF(G16="","",IFERROR(IF(G16="infusing",IFERROR(LOOKUP(2,1/ISNUMBER(SEARCH(_lookup!$D$3:$D$4,H16)),_lookup!$E$3:$E$4),"INT"),VLOOKUP(G16,_lookup!$A$3:$B$14,2,FALSE)),""))</f>
        <v/>
      </c>
      <c r="K16">
        <f>IF(F16&lt;&gt;"weapon","",IF(G16="miscellaneous","1-4",IF(I16="","",IFERROR(VLOOKUP(I16&amp;"|"&amp;IF(LEFT(H16,2)="2H",2,1)&amp;"|"&amp;IF(G16="slashing",1,0),_lookup!$G$3:$H$18,2,FALSE),""))))</f>
        <v/>
      </c>
      <c r="L16">
        <f>IF(K16="","",IF(OR(G16="channeling",G16="infusing"),"Magical",IF(G16="blocking","Anti-Physical",IF(G16="warding","Anti-Magical","Physical"))))</f>
        <v/>
      </c>
      <c r="O16">
        <f>IF(F16&lt;&gt;"armor","","TBD")</f>
        <v/>
      </c>
      <c r="P16">
        <f>IF(O16="","",IF(OR(G16="channeling",G16="infusing"),"Magical",IF(G16="blocking","Anti-Physical",IF(G16="warding","Anti-Magical","Physical"))))</f>
        <v/>
      </c>
      <c r="S16" t="n">
        <v>3</v>
      </c>
      <c r="T16" t="inlineStr">
        <is>
          <t>Used to craft tier 0 Weaponsmithing weapon stones.</t>
        </is>
      </c>
      <c r="U16" t="inlineStr">
        <is>
          <t>Coarse grey stone split straight from the quarry face. It takes an edge off as readily as it puts one on, so a careful paw works slowly.</t>
        </is>
      </c>
      <c r="X16" t="inlineStr">
        <is>
          <t>stone0</t>
        </is>
      </c>
      <c r="Y16" t="inlineStr">
        <is>
          <t>https://drive.google.com/uc?export=download&amp;id=1lW6Ehhvsy3-32O3sSrPRxfiDzNOp1Dq5</t>
        </is>
      </c>
    </row>
    <row r="17">
      <c r="A17" t="inlineStr">
        <is>
          <t>IT16</t>
        </is>
      </c>
      <c r="B17" t="inlineStr">
        <is>
          <t>item_template</t>
        </is>
      </c>
      <c r="C17" t="inlineStr">
        <is>
          <t>tile</t>
        </is>
      </c>
      <c r="D17" t="inlineStr">
        <is>
          <t>mining</t>
        </is>
      </c>
      <c r="E17" t="inlineStr">
        <is>
          <t>Coarse Stone</t>
        </is>
      </c>
      <c r="F17" t="inlineStr">
        <is>
          <t>goods</t>
        </is>
      </c>
      <c r="G17" t="inlineStr">
        <is>
          <t>material</t>
        </is>
      </c>
      <c r="H17" t="inlineStr">
        <is>
          <t>stone</t>
        </is>
      </c>
      <c r="I17" t="inlineStr">
        <is>
          <t>1</t>
        </is>
      </c>
      <c r="J17">
        <f>IF(G17="","",IFERROR(IF(G17="infusing",IFERROR(LOOKUP(2,1/ISNUMBER(SEARCH(_lookup!$D$3:$D$4,H17)),_lookup!$E$3:$E$4),"INT"),VLOOKUP(G17,_lookup!$A$3:$B$14,2,FALSE)),""))</f>
        <v/>
      </c>
      <c r="K17">
        <f>IF(F17&lt;&gt;"weapon","",IF(G17="miscellaneous","1-4",IF(I17="","",IFERROR(VLOOKUP(I17&amp;"|"&amp;IF(LEFT(H17,2)="2H",2,1)&amp;"|"&amp;IF(G17="slashing",1,0),_lookup!$G$3:$H$18,2,FALSE),""))))</f>
        <v/>
      </c>
      <c r="L17">
        <f>IF(K17="","",IF(OR(G17="channeling",G17="infusing"),"Magical",IF(G17="blocking","Anti-Physical",IF(G17="warding","Anti-Magical","Physical"))))</f>
        <v/>
      </c>
      <c r="O17">
        <f>IF(F17&lt;&gt;"armor","","TBD")</f>
        <v/>
      </c>
      <c r="P17">
        <f>IF(O17="","",IF(OR(G17="channeling",G17="infusing"),"Magical",IF(G17="blocking","Anti-Physical",IF(G17="warding","Anti-Magical","Physical"))))</f>
        <v/>
      </c>
      <c r="S17" t="n">
        <v>9</v>
      </c>
      <c r="T17" t="inlineStr">
        <is>
          <t>Used to craft tier 1 Weaponsmithing weapon stones.</t>
        </is>
      </c>
      <c r="U17" t="inlineStr">
        <is>
          <t>Denser than it looks, and even in the grain. The smiths of the mill towns keep a block of it on every bench.</t>
        </is>
      </c>
      <c r="X17" t="inlineStr">
        <is>
          <t>stone1</t>
        </is>
      </c>
      <c r="Y17" t="inlineStr">
        <is>
          <t>https://drive.google.com/uc?export=download&amp;id=18sWc_nBl9Vmjl2_Nsmcy5QDc4kILOETK</t>
        </is>
      </c>
    </row>
    <row r="18">
      <c r="A18" t="inlineStr">
        <is>
          <t>IT17</t>
        </is>
      </c>
      <c r="B18" t="inlineStr">
        <is>
          <t>item_template</t>
        </is>
      </c>
      <c r="C18" t="inlineStr">
        <is>
          <t>tile</t>
        </is>
      </c>
      <c r="D18" t="inlineStr">
        <is>
          <t>mining</t>
        </is>
      </c>
      <c r="E18" t="inlineStr">
        <is>
          <t>Heavy Stone</t>
        </is>
      </c>
      <c r="F18" t="inlineStr">
        <is>
          <t>goods</t>
        </is>
      </c>
      <c r="G18" t="inlineStr">
        <is>
          <t>material</t>
        </is>
      </c>
      <c r="H18" t="inlineStr">
        <is>
          <t>stone</t>
        </is>
      </c>
      <c r="I18" t="inlineStr">
        <is>
          <t>2</t>
        </is>
      </c>
      <c r="J18">
        <f>IF(G18="","",IFERROR(IF(G18="infusing",IFERROR(LOOKUP(2,1/ISNUMBER(SEARCH(_lookup!$D$3:$D$4,H18)),_lookup!$E$3:$E$4),"INT"),VLOOKUP(G18,_lookup!$A$3:$B$14,2,FALSE)),""))</f>
        <v/>
      </c>
      <c r="K18">
        <f>IF(F18&lt;&gt;"weapon","",IF(G18="miscellaneous","1-4",IF(I18="","",IFERROR(VLOOKUP(I18&amp;"|"&amp;IF(LEFT(H18,2)="2H",2,1)&amp;"|"&amp;IF(G18="slashing",1,0),_lookup!$G$3:$H$18,2,FALSE),""))))</f>
        <v/>
      </c>
      <c r="L18">
        <f>IF(K18="","",IF(OR(G18="channeling",G18="infusing"),"Magical",IF(G18="blocking","Anti-Physical",IF(G18="warding","Anti-Magical","Physical"))))</f>
        <v/>
      </c>
      <c r="O18">
        <f>IF(F18&lt;&gt;"armor","","TBD")</f>
        <v/>
      </c>
      <c r="P18">
        <f>IF(O18="","",IF(OR(G18="channeling",G18="infusing"),"Magical",IF(G18="blocking","Anti-Physical",IF(G18="warding","Anti-Magical","Physical"))))</f>
        <v/>
      </c>
      <c r="S18" t="n">
        <v>36</v>
      </c>
      <c r="T18" t="inlineStr">
        <is>
          <t>Used to craft tier 2 Weaponsmithing weapon stones.</t>
        </is>
      </c>
      <c r="U18" t="inlineStr">
        <is>
          <t>Dark and close-grained, heavy enough to sit still while you work. It will outlast several of the blades it sharpens.</t>
        </is>
      </c>
      <c r="X18" t="inlineStr">
        <is>
          <t>stone2</t>
        </is>
      </c>
      <c r="Y18" t="inlineStr">
        <is>
          <t>https://drive.google.com/uc?export=download&amp;id=16vqvGwB_FpMS9k7lDVnC8POZoi0l-zHQ</t>
        </is>
      </c>
    </row>
    <row r="19">
      <c r="A19" t="inlineStr">
        <is>
          <t>IT18</t>
        </is>
      </c>
      <c r="B19" t="inlineStr">
        <is>
          <t>item_template</t>
        </is>
      </c>
      <c r="C19" t="inlineStr">
        <is>
          <t>tile</t>
        </is>
      </c>
      <c r="D19" t="inlineStr">
        <is>
          <t>mining</t>
        </is>
      </c>
      <c r="E19" t="inlineStr">
        <is>
          <t>Desne Stone</t>
        </is>
      </c>
      <c r="F19" t="inlineStr">
        <is>
          <t>goods</t>
        </is>
      </c>
      <c r="G19" t="inlineStr">
        <is>
          <t>material</t>
        </is>
      </c>
      <c r="H19" t="inlineStr">
        <is>
          <t>stone</t>
        </is>
      </c>
      <c r="I19" t="inlineStr">
        <is>
          <t>3</t>
        </is>
      </c>
      <c r="J19">
        <f>IF(G19="","",IFERROR(IF(G19="infusing",IFERROR(LOOKUP(2,1/ISNUMBER(SEARCH(_lookup!$D$3:$D$4,H19)),_lookup!$E$3:$E$4),"INT"),VLOOKUP(G19,_lookup!$A$3:$B$14,2,FALSE)),""))</f>
        <v/>
      </c>
      <c r="K19">
        <f>IF(F19&lt;&gt;"weapon","",IF(G19="miscellaneous","1-4",IF(I19="","",IFERROR(VLOOKUP(I19&amp;"|"&amp;IF(LEFT(H19,2)="2H",2,1)&amp;"|"&amp;IF(G19="slashing",1,0),_lookup!$G$3:$H$18,2,FALSE),""))))</f>
        <v/>
      </c>
      <c r="L19">
        <f>IF(K19="","",IF(OR(G19="channeling",G19="infusing"),"Magical",IF(G19="blocking","Anti-Physical",IF(G19="warding","Anti-Magical","Physical"))))</f>
        <v/>
      </c>
      <c r="O19">
        <f>IF(F19&lt;&gt;"armor","","TBD")</f>
        <v/>
      </c>
      <c r="P19">
        <f>IF(O19="","",IF(OR(G19="channeling",G19="infusing"),"Magical",IF(G19="blocking","Anti-Physical",IF(G19="warding","Anti-Magical","Physical"))))</f>
        <v/>
      </c>
      <c r="S19" t="n">
        <v>100</v>
      </c>
      <c r="T19" t="inlineStr">
        <is>
          <t>Used to craft tier 3 Weaponsmithing weapon stones.</t>
        </is>
      </c>
      <c r="U19" t="inlineStr">
        <is>
          <t>So fine it feels almost soft, and so dense it rings faintly when struck. A single block is handed down through a family of smiths.</t>
        </is>
      </c>
      <c r="X19" t="inlineStr">
        <is>
          <t>stone3</t>
        </is>
      </c>
      <c r="Y19" t="inlineStr">
        <is>
          <t>https://drive.google.com/uc?export=download&amp;id=12CazpWZAx-ecXZNdvz10G9TFVwmyy5Wc</t>
        </is>
      </c>
    </row>
    <row r="20">
      <c r="A20" t="inlineStr">
        <is>
          <t>IT19</t>
        </is>
      </c>
      <c r="B20" t="inlineStr">
        <is>
          <t>item_template</t>
        </is>
      </c>
      <c r="C20" t="inlineStr">
        <is>
          <t>tile</t>
        </is>
      </c>
      <c r="D20" t="inlineStr">
        <is>
          <t>mining</t>
        </is>
      </c>
      <c r="E20" t="inlineStr">
        <is>
          <t>Pickaxe</t>
        </is>
      </c>
      <c r="F20" t="inlineStr">
        <is>
          <t>weapon</t>
        </is>
      </c>
      <c r="G20" t="inlineStr">
        <is>
          <t>miscellaneous</t>
        </is>
      </c>
      <c r="H20" t="inlineStr">
        <is>
          <t>1H</t>
        </is>
      </c>
      <c r="I20" t="inlineStr">
        <is>
          <t>0</t>
        </is>
      </c>
      <c r="J20">
        <f>IF(G20="","",IFERROR(IF(G20="infusing",IFERROR(LOOKUP(2,1/ISNUMBER(SEARCH(_lookup!$D$3:$D$4,H20)),_lookup!$E$3:$E$4),"INT"),VLOOKUP(G20,_lookup!$A$3:$B$14,2,FALSE)),""))</f>
        <v/>
      </c>
      <c r="K20">
        <f>IF(F20&lt;&gt;"weapon","",IF(G20="miscellaneous","1-4",IF(I20="","",IFERROR(VLOOKUP(I20&amp;"|"&amp;IF(LEFT(H20,2)="2H",2,1)&amp;"|"&amp;IF(G20="slashing",1,0),_lookup!$G$3:$H$18,2,FALSE),""))))</f>
        <v/>
      </c>
      <c r="L20">
        <f>IF(K20="","",IF(OR(G20="channeling",G20="infusing"),"Magical",IF(G20="blocking","Anti-Physical",IF(G20="warding","Anti-Magical","Physical"))))</f>
        <v/>
      </c>
      <c r="O20">
        <f>IF(F20&lt;&gt;"armor","","TBD")</f>
        <v/>
      </c>
      <c r="P20">
        <f>IF(O20="","",IF(OR(G20="channeling",G20="infusing"),"Magical",IF(G20="blocking","Anti-Physical",IF(G20="warding","Anti-Magical","Physical"))))</f>
        <v/>
      </c>
      <c r="S20" t="n">
        <v>12</v>
      </c>
      <c r="T20" t="inlineStr">
        <is>
          <t>Doubles the loot of level 0 Mining. This does not stack.</t>
        </is>
      </c>
      <c r="U20" t="inlineStr">
        <is>
          <t>A hazel haft and a head beaten out of whatever iron was going spare. It chips more than it cuts, but it has opened a great many first seams.</t>
        </is>
      </c>
      <c r="X20" t="inlineStr">
        <is>
          <t>dmg:1-4|Physical|miscellaneous</t>
        </is>
      </c>
      <c r="Y20" t="inlineStr">
        <is>
          <t>https://drive.google.com/uc?export=download&amp;id=1C75A1-Rr1kWdn_JGCnLf0vE6cxIA1Wgt</t>
        </is>
      </c>
    </row>
    <row r="21">
      <c r="A21" t="inlineStr">
        <is>
          <t>IT20</t>
        </is>
      </c>
      <c r="B21" t="inlineStr">
        <is>
          <t>item_template</t>
        </is>
      </c>
      <c r="C21" t="inlineStr">
        <is>
          <t>tile</t>
        </is>
      </c>
      <c r="D21" t="inlineStr">
        <is>
          <t>mining</t>
        </is>
      </c>
      <c r="E21" t="inlineStr">
        <is>
          <t>Sturdy Pickaxe</t>
        </is>
      </c>
      <c r="F21" t="inlineStr">
        <is>
          <t>weapon</t>
        </is>
      </c>
      <c r="G21" t="inlineStr">
        <is>
          <t>miscellaneous</t>
        </is>
      </c>
      <c r="H21" t="inlineStr">
        <is>
          <t>1H</t>
        </is>
      </c>
      <c r="I21" t="inlineStr">
        <is>
          <t>1</t>
        </is>
      </c>
      <c r="J21">
        <f>IF(G21="","",IFERROR(IF(G21="infusing",IFERROR(LOOKUP(2,1/ISNUMBER(SEARCH(_lookup!$D$3:$D$4,H21)),_lookup!$E$3:$E$4),"INT"),VLOOKUP(G21,_lookup!$A$3:$B$14,2,FALSE)),""))</f>
        <v/>
      </c>
      <c r="K21">
        <f>IF(F21&lt;&gt;"weapon","",IF(G21="miscellaneous","1-4",IF(I21="","",IFERROR(VLOOKUP(I21&amp;"|"&amp;IF(LEFT(H21,2)="2H",2,1)&amp;"|"&amp;IF(G21="slashing",1,0),_lookup!$G$3:$H$18,2,FALSE),""))))</f>
        <v/>
      </c>
      <c r="L21">
        <f>IF(K21="","",IF(OR(G21="channeling",G21="infusing"),"Magical",IF(G21="blocking","Anti-Physical",IF(G21="warding","Anti-Magical","Physical"))))</f>
        <v/>
      </c>
      <c r="O21">
        <f>IF(F21&lt;&gt;"armor","","TBD")</f>
        <v/>
      </c>
      <c r="P21">
        <f>IF(O21="","",IF(OR(G21="channeling",G21="infusing"),"Magical",IF(G21="blocking","Anti-Physical",IF(G21="warding","Anti-Magical","Physical"))))</f>
        <v/>
      </c>
      <c r="S21" t="n">
        <v>36</v>
      </c>
      <c r="T21" t="inlineStr">
        <is>
          <t>Doubles the loot of level 0 or 1 Mining. This does not stack.</t>
        </is>
      </c>
      <c r="U21" t="inlineStr">
        <is>
          <t>Properly hafted and properly balanced, with a head that stays on through a full day's swinging. The difference is felt by evening.</t>
        </is>
      </c>
      <c r="X21" t="inlineStr">
        <is>
          <t>dmg:1-4|Physical|miscellaneous</t>
        </is>
      </c>
      <c r="Y21" t="inlineStr">
        <is>
          <t>https://drive.google.com/uc?export=download&amp;id=1W74uQeIeIk4mdCbKxrQK66Aa2BMzZWUY</t>
        </is>
      </c>
    </row>
    <row r="22">
      <c r="A22" t="inlineStr">
        <is>
          <t>IT21</t>
        </is>
      </c>
      <c r="B22" t="inlineStr">
        <is>
          <t>item_template</t>
        </is>
      </c>
      <c r="C22" t="inlineStr">
        <is>
          <t>tile</t>
        </is>
      </c>
      <c r="D22" t="inlineStr">
        <is>
          <t>mining</t>
        </is>
      </c>
      <c r="E22" t="inlineStr">
        <is>
          <t>Steel Pickaxe</t>
        </is>
      </c>
      <c r="F22" t="inlineStr">
        <is>
          <t>weapon</t>
        </is>
      </c>
      <c r="G22" t="inlineStr">
        <is>
          <t>miscellaneous</t>
        </is>
      </c>
      <c r="H22" t="inlineStr">
        <is>
          <t>1H</t>
        </is>
      </c>
      <c r="I22" t="inlineStr">
        <is>
          <t>2</t>
        </is>
      </c>
      <c r="J22">
        <f>IF(G22="","",IFERROR(IF(G22="infusing",IFERROR(LOOKUP(2,1/ISNUMBER(SEARCH(_lookup!$D$3:$D$4,H22)),_lookup!$E$3:$E$4),"INT"),VLOOKUP(G22,_lookup!$A$3:$B$14,2,FALSE)),""))</f>
        <v/>
      </c>
      <c r="K22">
        <f>IF(F22&lt;&gt;"weapon","",IF(G22="miscellaneous","1-4",IF(I22="","",IFERROR(VLOOKUP(I22&amp;"|"&amp;IF(LEFT(H22,2)="2H",2,1)&amp;"|"&amp;IF(G22="slashing",1,0),_lookup!$G$3:$H$18,2,FALSE),""))))</f>
        <v/>
      </c>
      <c r="L22">
        <f>IF(K22="","",IF(OR(G22="channeling",G22="infusing"),"Magical",IF(G22="blocking","Anti-Physical",IF(G22="warding","Anti-Magical","Physical"))))</f>
        <v/>
      </c>
      <c r="O22">
        <f>IF(F22&lt;&gt;"armor","","TBD")</f>
        <v/>
      </c>
      <c r="P22">
        <f>IF(O22="","",IF(OR(G22="channeling",G22="infusing"),"Magical",IF(G22="blocking","Anti-Physical",IF(G22="warding","Anti-Magical","Physical"))))</f>
        <v/>
      </c>
      <c r="S22" t="n">
        <v>144</v>
      </c>
      <c r="T22" t="inlineStr">
        <is>
          <t>Doubles the loot of level 0, 1, or 2 Mining. This does not stack.</t>
        </is>
      </c>
      <c r="U22" t="inlineStr">
        <is>
          <t>Forged head, steel-shod haft, and an edge that holds through the hard grey rock the cheaper tools simply bounce off.</t>
        </is>
      </c>
      <c r="X22" t="inlineStr">
        <is>
          <t>dmg:1-4|Physical|miscellaneous</t>
        </is>
      </c>
      <c r="Y22" t="inlineStr">
        <is>
          <t>https://drive.google.com/uc?export=download&amp;id=156tkg64DYbARVYfwMzaHZCyCNHRd5vkX</t>
        </is>
      </c>
    </row>
    <row r="23">
      <c r="A23" t="inlineStr">
        <is>
          <t>IT22</t>
        </is>
      </c>
      <c r="B23" t="inlineStr">
        <is>
          <t>item_template</t>
        </is>
      </c>
      <c r="C23" t="inlineStr">
        <is>
          <t>tile</t>
        </is>
      </c>
      <c r="D23" t="inlineStr">
        <is>
          <t>mining</t>
        </is>
      </c>
      <c r="E23" t="inlineStr">
        <is>
          <t>Gold Bar</t>
        </is>
      </c>
      <c r="F23" t="inlineStr">
        <is>
          <t>goods</t>
        </is>
      </c>
      <c r="G23" t="inlineStr">
        <is>
          <t>material</t>
        </is>
      </c>
      <c r="H23" t="inlineStr">
        <is>
          <t>ore</t>
        </is>
      </c>
      <c r="I23" t="inlineStr">
        <is>
          <t>0</t>
        </is>
      </c>
      <c r="J23">
        <f>IF(G23="","",IFERROR(IF(G23="infusing",IFERROR(LOOKUP(2,1/ISNUMBER(SEARCH(_lookup!$D$3:$D$4,H23)),_lookup!$E$3:$E$4),"INT"),VLOOKUP(G23,_lookup!$A$3:$B$14,2,FALSE)),""))</f>
        <v/>
      </c>
      <c r="K23">
        <f>IF(F23&lt;&gt;"weapon","",IF(G23="miscellaneous","1-4",IF(I23="","",IFERROR(VLOOKUP(I23&amp;"|"&amp;IF(LEFT(H23,2)="2H",2,1)&amp;"|"&amp;IF(G23="slashing",1,0),_lookup!$G$3:$H$18,2,FALSE),""))))</f>
        <v/>
      </c>
      <c r="L23">
        <f>IF(K23="","",IF(OR(G23="channeling",G23="infusing"),"Magical",IF(G23="blocking","Anti-Physical",IF(G23="warding","Anti-Magical","Physical"))))</f>
        <v/>
      </c>
      <c r="O23">
        <f>IF(F23&lt;&gt;"armor","","TBD")</f>
        <v/>
      </c>
      <c r="P23">
        <f>IF(O23="","",IF(OR(G23="channeling",G23="infusing"),"Magical",IF(G23="blocking","Anti-Physical",IF(G23="warding","Anti-Magical","Physical"))))</f>
        <v/>
      </c>
      <c r="S23" t="n">
        <v>3</v>
      </c>
      <c r="T23" t="inlineStr">
        <is>
          <t>Used to craft tier 0 Weaponsmithing weapons or Armorsmithing armors and shields.</t>
        </is>
      </c>
      <c r="U23" t="inlineStr">
        <is>
          <t>Prized more for its sheen rather than its strength, this metal is often hoarded by bandits and denizens alike.</t>
        </is>
      </c>
      <c r="X23" t="inlineStr">
        <is>
          <t>ore0</t>
        </is>
      </c>
      <c r="Y23" t="inlineStr">
        <is>
          <t>https://drive.google.com/uc?export=download&amp;id=1LcrFpOzopAuiZVZyq7-K2NfqTfrc3Dlm</t>
        </is>
      </c>
    </row>
    <row r="24">
      <c r="A24" t="inlineStr">
        <is>
          <t>IT23</t>
        </is>
      </c>
      <c r="B24" t="inlineStr">
        <is>
          <t>item_template</t>
        </is>
      </c>
      <c r="C24" t="inlineStr">
        <is>
          <t>tile</t>
        </is>
      </c>
      <c r="D24" t="inlineStr">
        <is>
          <t>fishing</t>
        </is>
      </c>
      <c r="E24" t="inlineStr">
        <is>
          <t>Ribbon Clam</t>
        </is>
      </c>
      <c r="F24" t="inlineStr">
        <is>
          <t>consumable</t>
        </is>
      </c>
      <c r="G24" t="inlineStr">
        <is>
          <t>lootbox</t>
        </is>
      </c>
      <c r="I24" t="inlineStr">
        <is>
          <t>0</t>
        </is>
      </c>
      <c r="J24">
        <f>IF(G24="","",IFERROR(IF(G24="infusing",IFERROR(LOOKUP(2,1/ISNUMBER(SEARCH(_lookup!$D$3:$D$4,H24)),_lookup!$E$3:$E$4),"INT"),VLOOKUP(G24,_lookup!$A$3:$B$14,2,FALSE)),""))</f>
        <v/>
      </c>
      <c r="K24">
        <f>IF(F24&lt;&gt;"weapon","",IF(G24="miscellaneous","1-4",IF(I24="","",IFERROR(VLOOKUP(I24&amp;"|"&amp;IF(LEFT(H24,2)="2H",2,1)&amp;"|"&amp;IF(G24="slashing",1,0),_lookup!$G$3:$H$18,2,FALSE),""))))</f>
        <v/>
      </c>
      <c r="L24">
        <f>IF(K24="","",IF(OR(G24="channeling",G24="infusing"),"Magical",IF(G24="blocking","Anti-Physical",IF(G24="warding","Anti-Magical","Physical"))))</f>
        <v/>
      </c>
      <c r="O24">
        <f>IF(F24&lt;&gt;"armor","","TBD")</f>
        <v/>
      </c>
      <c r="P24">
        <f>IF(O24="","",IF(OR(G24="channeling",G24="infusing"),"Magical",IF(G24="blocking","Anti-Physical",IF(G24="warding","Anti-Magical","Physical"))))</f>
        <v/>
      </c>
      <c r="S24" t="n">
        <v>4</v>
      </c>
      <c r="T24" t="inlineStr">
        <is>
          <t>Flip over to open.</t>
        </is>
      </c>
      <c r="U24" t="inlineStr">
        <is>
          <t>A palm-sized clam, its shell banded like a ribbon. Riverfolk say a clam that closes hard on your paw is hiding something worth the pinch.</t>
        </is>
      </c>
      <c r="Y24" t="inlineStr">
        <is>
          <t>https://drive.google.com/uc?export=download&amp;id=1jLljsRHWVFLSLmL2wVhVAiEnDxTCYmat</t>
        </is>
      </c>
    </row>
    <row r="25">
      <c r="A25" t="inlineStr">
        <is>
          <t>IT24</t>
        </is>
      </c>
      <c r="B25" t="inlineStr">
        <is>
          <t>item_template</t>
        </is>
      </c>
      <c r="C25" t="inlineStr">
        <is>
          <t>tile</t>
        </is>
      </c>
      <c r="D25" t="inlineStr">
        <is>
          <t>fishing</t>
        </is>
      </c>
      <c r="E25" t="inlineStr">
        <is>
          <t>Deepwater Clam</t>
        </is>
      </c>
      <c r="F25" t="inlineStr">
        <is>
          <t>consumable</t>
        </is>
      </c>
      <c r="G25" t="inlineStr">
        <is>
          <t>lootbox</t>
        </is>
      </c>
      <c r="I25" t="inlineStr">
        <is>
          <t>1</t>
        </is>
      </c>
      <c r="J25">
        <f>IF(G25="","",IFERROR(IF(G25="infusing",IFERROR(LOOKUP(2,1/ISNUMBER(SEARCH(_lookup!$D$3:$D$4,H25)),_lookup!$E$3:$E$4),"INT"),VLOOKUP(G25,_lookup!$A$3:$B$14,2,FALSE)),""))</f>
        <v/>
      </c>
      <c r="K25">
        <f>IF(F25&lt;&gt;"weapon","",IF(G25="miscellaneous","1-4",IF(I25="","",IFERROR(VLOOKUP(I25&amp;"|"&amp;IF(LEFT(H25,2)="2H",2,1)&amp;"|"&amp;IF(G25="slashing",1,0),_lookup!$G$3:$H$18,2,FALSE),""))))</f>
        <v/>
      </c>
      <c r="L25">
        <f>IF(K25="","",IF(OR(G25="channeling",G25="infusing"),"Magical",IF(G25="blocking","Anti-Physical",IF(G25="warding","Anti-Magical","Physical"))))</f>
        <v/>
      </c>
      <c r="O25">
        <f>IF(F25&lt;&gt;"armor","","TBD")</f>
        <v/>
      </c>
      <c r="P25">
        <f>IF(O25="","",IF(OR(G25="channeling",G25="infusing"),"Magical",IF(G25="blocking","Anti-Physical",IF(G25="warding","Anti-Magical","Physical"))))</f>
        <v/>
      </c>
      <c r="S25" t="n">
        <v>14</v>
      </c>
      <c r="T25" t="inlineStr">
        <is>
          <t>Flip over to open.</t>
        </is>
      </c>
      <c r="U25" t="inlineStr">
        <is>
          <t>Hauled up from the cold water under the mill race. The shell is mottled purple and heavy, and the older the clam, the better what sleeps inside it.</t>
        </is>
      </c>
      <c r="Y25" t="inlineStr">
        <is>
          <t>https://drive.google.com/uc?export=download&amp;id=1YYPIwvmQBpEtqisHN9smHdGF8RjjstP2</t>
        </is>
      </c>
    </row>
    <row r="26">
      <c r="A26" t="inlineStr">
        <is>
          <t>IT25</t>
        </is>
      </c>
      <c r="B26" t="inlineStr">
        <is>
          <t>item_template</t>
        </is>
      </c>
      <c r="C26" t="inlineStr">
        <is>
          <t>tile</t>
        </is>
      </c>
      <c r="D26" t="inlineStr">
        <is>
          <t>fishing</t>
        </is>
      </c>
      <c r="E26" t="inlineStr">
        <is>
          <t>Clam Meat</t>
        </is>
      </c>
      <c r="F26" t="inlineStr">
        <is>
          <t>consumable</t>
        </is>
      </c>
      <c r="G26" t="inlineStr">
        <is>
          <t>food</t>
        </is>
      </c>
      <c r="I26" t="inlineStr">
        <is>
          <t>0</t>
        </is>
      </c>
      <c r="J26">
        <f>IF(G26="","",IFERROR(IF(G26="infusing",IFERROR(LOOKUP(2,1/ISNUMBER(SEARCH(_lookup!$D$3:$D$4,H26)),_lookup!$E$3:$E$4),"INT"),VLOOKUP(G26,_lookup!$A$3:$B$14,2,FALSE)),""))</f>
        <v/>
      </c>
      <c r="K26">
        <f>IF(F26&lt;&gt;"weapon","",IF(G26="miscellaneous","1-4",IF(I26="","",IFERROR(VLOOKUP(I26&amp;"|"&amp;IF(LEFT(H26,2)="2H",2,1)&amp;"|"&amp;IF(G26="slashing",1,0),_lookup!$G$3:$H$18,2,FALSE),""))))</f>
        <v/>
      </c>
      <c r="L26">
        <f>IF(K26="","",IF(OR(G26="channeling",G26="infusing"),"Magical",IF(G26="blocking","Anti-Physical",IF(G26="warding","Anti-Magical","Physical"))))</f>
        <v/>
      </c>
      <c r="O26">
        <f>IF(F26&lt;&gt;"armor","","TBD")</f>
        <v/>
      </c>
      <c r="P26">
        <f>IF(O26="","",IF(OR(G26="channeling",G26="infusing"),"Magical",IF(G26="blocking","Anti-Physical",IF(G26="warding","Anti-Magical","Physical"))))</f>
        <v/>
      </c>
      <c r="S26" t="n">
        <v>4</v>
      </c>
      <c r="T26" t="inlineStr">
        <is>
          <t>Eat in multiples of 3 to prevent Hunger.</t>
        </is>
      </c>
      <c r="U26" t="inlineStr">
        <is>
          <t xml:space="preserve">Often likened to the berry of the roads, this pale meat is cold and faintly sweet. </t>
        </is>
      </c>
      <c r="Y26" t="inlineStr">
        <is>
          <t>https://drive.google.com/uc?export=download&amp;id=1l77jjhX0xbrrO5NH6orftp-1r8AOMVsH</t>
        </is>
      </c>
    </row>
    <row r="27">
      <c r="A27" t="inlineStr">
        <is>
          <t>IT26</t>
        </is>
      </c>
      <c r="B27" t="inlineStr">
        <is>
          <t>item_template</t>
        </is>
      </c>
      <c r="C27" t="inlineStr">
        <is>
          <t>tile</t>
        </is>
      </c>
      <c r="D27" t="inlineStr">
        <is>
          <t>fishing</t>
        </is>
      </c>
      <c r="E27" t="inlineStr">
        <is>
          <t>Silverfin</t>
        </is>
      </c>
      <c r="F27" t="inlineStr">
        <is>
          <t>goods</t>
        </is>
      </c>
      <c r="G27" t="inlineStr">
        <is>
          <t>material</t>
        </is>
      </c>
      <c r="H27" t="inlineStr">
        <is>
          <t>fish</t>
        </is>
      </c>
      <c r="I27" t="inlineStr">
        <is>
          <t>0</t>
        </is>
      </c>
      <c r="J27">
        <f>IF(G27="","",IFERROR(IF(G27="infusing",IFERROR(LOOKUP(2,1/ISNUMBER(SEARCH(_lookup!$D$3:$D$4,H27)),_lookup!$E$3:$E$4),"INT"),VLOOKUP(G27,_lookup!$A$3:$B$14,2,FALSE)),""))</f>
        <v/>
      </c>
      <c r="K27">
        <f>IF(F27&lt;&gt;"weapon","",IF(G27="miscellaneous","1-4",IF(I27="","",IFERROR(VLOOKUP(I27&amp;"|"&amp;IF(LEFT(H27,2)="2H",2,1)&amp;"|"&amp;IF(G27="slashing",1,0),_lookup!$G$3:$H$18,2,FALSE),""))))</f>
        <v/>
      </c>
      <c r="L27">
        <f>IF(K27="","",IF(OR(G27="channeling",G27="infusing"),"Magical",IF(G27="blocking","Anti-Physical",IF(G27="warding","Anti-Magical","Physical"))))</f>
        <v/>
      </c>
      <c r="O27">
        <f>IF(F27&lt;&gt;"armor","","TBD")</f>
        <v/>
      </c>
      <c r="P27">
        <f>IF(O27="","",IF(OR(G27="channeling",G27="infusing"),"Magical",IF(G27="blocking","Anti-Physical",IF(G27="warding","Anti-Magical","Physical"))))</f>
        <v/>
      </c>
      <c r="S27" t="n">
        <v>3</v>
      </c>
      <c r="T27" t="inlineStr">
        <is>
          <t>Used to craft tier 0 Survival foods.</t>
        </is>
      </c>
      <c r="U27" t="inlineStr">
        <is>
          <t>The common fish of every slow stretch of water in the Woodland. Bony, plentiful, and the first thing any young angler ever lands.</t>
        </is>
      </c>
      <c r="X27" t="inlineStr">
        <is>
          <t>fish0</t>
        </is>
      </c>
      <c r="Y27" t="inlineStr">
        <is>
          <t>https://drive.google.com/uc?export=download&amp;id=13rpwHAHwWb6g6guEtgOTpKaHzCZJ5htX</t>
        </is>
      </c>
    </row>
    <row r="28">
      <c r="A28" t="inlineStr">
        <is>
          <t>IT27</t>
        </is>
      </c>
      <c r="B28" t="inlineStr">
        <is>
          <t>item_template</t>
        </is>
      </c>
      <c r="C28" t="inlineStr">
        <is>
          <t>tile</t>
        </is>
      </c>
      <c r="D28" t="inlineStr">
        <is>
          <t>fishing</t>
        </is>
      </c>
      <c r="E28" t="inlineStr">
        <is>
          <t>Rushpike</t>
        </is>
      </c>
      <c r="F28" t="inlineStr">
        <is>
          <t>goods</t>
        </is>
      </c>
      <c r="G28" t="inlineStr">
        <is>
          <t>material</t>
        </is>
      </c>
      <c r="H28" t="inlineStr">
        <is>
          <t>fish</t>
        </is>
      </c>
      <c r="I28" t="inlineStr">
        <is>
          <t>1</t>
        </is>
      </c>
      <c r="J28">
        <f>IF(G28="","",IFERROR(IF(G28="infusing",IFERROR(LOOKUP(2,1/ISNUMBER(SEARCH(_lookup!$D$3:$D$4,H28)),_lookup!$E$3:$E$4),"INT"),VLOOKUP(G28,_lookup!$A$3:$B$14,2,FALSE)),""))</f>
        <v/>
      </c>
      <c r="K28">
        <f>IF(F28&lt;&gt;"weapon","",IF(G28="miscellaneous","1-4",IF(I28="","",IFERROR(VLOOKUP(I28&amp;"|"&amp;IF(LEFT(H28,2)="2H",2,1)&amp;"|"&amp;IF(G28="slashing",1,0),_lookup!$G$3:$H$18,2,FALSE),""))))</f>
        <v/>
      </c>
      <c r="L28">
        <f>IF(K28="","",IF(OR(G28="channeling",G28="infusing"),"Magical",IF(G28="blocking","Anti-Physical",IF(G28="warding","Anti-Magical","Physical"))))</f>
        <v/>
      </c>
      <c r="O28">
        <f>IF(F28&lt;&gt;"armor","","TBD")</f>
        <v/>
      </c>
      <c r="P28">
        <f>IF(O28="","",IF(OR(G28="channeling",G28="infusing"),"Magical",IF(G28="blocking","Anti-Physical",IF(G28="warding","Anti-Magical","Physical"))))</f>
        <v/>
      </c>
      <c r="S28" t="n">
        <v>9</v>
      </c>
      <c r="T28" t="inlineStr">
        <is>
          <t>Used to craft tier 1 Survival foods.</t>
        </is>
      </c>
      <c r="U28" t="inlineStr">
        <is>
          <t>A lean hunter of the reed beds, all jaw and bad temper. It takes a bait meant for something smaller and fights the whole way in.</t>
        </is>
      </c>
      <c r="X28" t="inlineStr">
        <is>
          <t>fish1</t>
        </is>
      </c>
      <c r="Y28" t="inlineStr">
        <is>
          <t>https://drive.google.com/uc?export=download&amp;id=1Cyjh7d39M6ecUK7-kwXtU7OsnfVi4nU1</t>
        </is>
      </c>
    </row>
    <row r="29">
      <c r="A29" t="inlineStr">
        <is>
          <t>IT28</t>
        </is>
      </c>
      <c r="B29" t="inlineStr">
        <is>
          <t>item_template</t>
        </is>
      </c>
      <c r="C29" t="inlineStr">
        <is>
          <t>tile</t>
        </is>
      </c>
      <c r="D29" t="inlineStr">
        <is>
          <t>fishing</t>
        </is>
      </c>
      <c r="E29" t="inlineStr">
        <is>
          <t>Greenback Trout</t>
        </is>
      </c>
      <c r="F29" t="inlineStr">
        <is>
          <t>goods</t>
        </is>
      </c>
      <c r="G29" t="inlineStr">
        <is>
          <t>material</t>
        </is>
      </c>
      <c r="H29" t="inlineStr">
        <is>
          <t>fish</t>
        </is>
      </c>
      <c r="I29" t="inlineStr">
        <is>
          <t>2</t>
        </is>
      </c>
      <c r="J29">
        <f>IF(G29="","",IFERROR(IF(G29="infusing",IFERROR(LOOKUP(2,1/ISNUMBER(SEARCH(_lookup!$D$3:$D$4,H29)),_lookup!$E$3:$E$4),"INT"),VLOOKUP(G29,_lookup!$A$3:$B$14,2,FALSE)),""))</f>
        <v/>
      </c>
      <c r="K29">
        <f>IF(F29&lt;&gt;"weapon","",IF(G29="miscellaneous","1-4",IF(I29="","",IFERROR(VLOOKUP(I29&amp;"|"&amp;IF(LEFT(H29,2)="2H",2,1)&amp;"|"&amp;IF(G29="slashing",1,0),_lookup!$G$3:$H$18,2,FALSE),""))))</f>
        <v/>
      </c>
      <c r="L29">
        <f>IF(K29="","",IF(OR(G29="channeling",G29="infusing"),"Magical",IF(G29="blocking","Anti-Physical",IF(G29="warding","Anti-Magical","Physical"))))</f>
        <v/>
      </c>
      <c r="O29">
        <f>IF(F29&lt;&gt;"armor","","TBD")</f>
        <v/>
      </c>
      <c r="P29">
        <f>IF(O29="","",IF(OR(G29="channeling",G29="infusing"),"Magical",IF(G29="blocking","Anti-Physical",IF(G29="warding","Anti-Magical","Physical"))))</f>
        <v/>
      </c>
      <c r="S29" t="n">
        <v>36</v>
      </c>
      <c r="T29" t="inlineStr">
        <is>
          <t>Used to craft tier 2 Survival foods.</t>
        </is>
      </c>
      <c r="U29" t="inlineStr">
        <is>
          <t>Thick through the shoulder and green as wet moss. Found only where the water runs cold and fast, which is rarely where it is safe to stand.</t>
        </is>
      </c>
      <c r="X29" t="inlineStr">
        <is>
          <t>fish2</t>
        </is>
      </c>
      <c r="Y29" t="inlineStr">
        <is>
          <t>https://drive.google.com/uc?export=download&amp;id=1HTbXRjtegmWyeBCzsCMgxAzevJFXSYrm</t>
        </is>
      </c>
    </row>
    <row r="30">
      <c r="A30" t="inlineStr">
        <is>
          <t>IT29</t>
        </is>
      </c>
      <c r="B30" t="inlineStr">
        <is>
          <t>item_template</t>
        </is>
      </c>
      <c r="C30" t="inlineStr">
        <is>
          <t>tile</t>
        </is>
      </c>
      <c r="D30" t="inlineStr">
        <is>
          <t>fishing</t>
        </is>
      </c>
      <c r="E30" t="inlineStr">
        <is>
          <t>Gloomfish</t>
        </is>
      </c>
      <c r="F30" t="inlineStr">
        <is>
          <t>goods</t>
        </is>
      </c>
      <c r="G30" t="inlineStr">
        <is>
          <t>material</t>
        </is>
      </c>
      <c r="H30" t="inlineStr">
        <is>
          <t>fish</t>
        </is>
      </c>
      <c r="I30" t="inlineStr">
        <is>
          <t>3</t>
        </is>
      </c>
      <c r="J30">
        <f>IF(G30="","",IFERROR(IF(G30="infusing",IFERROR(LOOKUP(2,1/ISNUMBER(SEARCH(_lookup!$D$3:$D$4,H30)),_lookup!$E$3:$E$4),"INT"),VLOOKUP(G30,_lookup!$A$3:$B$14,2,FALSE)),""))</f>
        <v/>
      </c>
      <c r="K30">
        <f>IF(F30&lt;&gt;"weapon","",IF(G30="miscellaneous","1-4",IF(I30="","",IFERROR(VLOOKUP(I30&amp;"|"&amp;IF(LEFT(H30,2)="2H",2,1)&amp;"|"&amp;IF(G30="slashing",1,0),_lookup!$G$3:$H$18,2,FALSE),""))))</f>
        <v/>
      </c>
      <c r="L30">
        <f>IF(K30="","",IF(OR(G30="channeling",G30="infusing"),"Magical",IF(G30="blocking","Anti-Physical",IF(G30="warding","Anti-Magical","Physical"))))</f>
        <v/>
      </c>
      <c r="O30">
        <f>IF(F30&lt;&gt;"armor","","TBD")</f>
        <v/>
      </c>
      <c r="P30">
        <f>IF(O30="","",IF(OR(G30="channeling",G30="infusing"),"Magical",IF(G30="blocking","Anti-Physical",IF(G30="warding","Anti-Magical","Physical"))))</f>
        <v/>
      </c>
      <c r="S30" t="n">
        <v>100</v>
      </c>
      <c r="T30" t="inlineStr">
        <is>
          <t>Used to craft tier 3 Survival foods.</t>
        </is>
      </c>
      <c r="U30" t="inlineStr">
        <is>
          <t>Caught after dusk in the deep pools, its scales holding the last of the light. This large fish is prized for its taste and size.</t>
        </is>
      </c>
      <c r="X30" t="inlineStr">
        <is>
          <t>fish3</t>
        </is>
      </c>
      <c r="Y30" t="inlineStr">
        <is>
          <t>https://drive.google.com/uc?export=download&amp;id=13fdWAoJQ-wk9qJoyiZ_EpHCiyakU4mIR</t>
        </is>
      </c>
    </row>
    <row r="31">
      <c r="A31" t="inlineStr">
        <is>
          <t>IT30</t>
        </is>
      </c>
      <c r="B31" t="inlineStr">
        <is>
          <t>item_template</t>
        </is>
      </c>
      <c r="C31" t="inlineStr">
        <is>
          <t>tile</t>
        </is>
      </c>
      <c r="D31" t="inlineStr">
        <is>
          <t>fishing</t>
        </is>
      </c>
      <c r="E31" t="inlineStr">
        <is>
          <t>Waterlogged Letter</t>
        </is>
      </c>
      <c r="F31" t="inlineStr">
        <is>
          <t>consumable</t>
        </is>
      </c>
      <c r="G31" t="inlineStr">
        <is>
          <t>lootbox</t>
        </is>
      </c>
      <c r="I31" t="inlineStr">
        <is>
          <t>0</t>
        </is>
      </c>
      <c r="J31">
        <f>IF(G31="","",IFERROR(IF(G31="infusing",IFERROR(LOOKUP(2,1/ISNUMBER(SEARCH(_lookup!$D$3:$D$4,H31)),_lookup!$E$3:$E$4),"INT"),VLOOKUP(G31,_lookup!$A$3:$B$14,2,FALSE)),""))</f>
        <v/>
      </c>
      <c r="K31">
        <f>IF(F31&lt;&gt;"weapon","",IF(G31="miscellaneous","1-4",IF(I31="","",IFERROR(VLOOKUP(I31&amp;"|"&amp;IF(LEFT(H31,2)="2H",2,1)&amp;"|"&amp;IF(G31="slashing",1,0),_lookup!$G$3:$H$18,2,FALSE),""))))</f>
        <v/>
      </c>
      <c r="L31">
        <f>IF(K31="","",IF(OR(G31="channeling",G31="infusing"),"Magical",IF(G31="blocking","Anti-Physical",IF(G31="warding","Anti-Magical","Physical"))))</f>
        <v/>
      </c>
      <c r="O31">
        <f>IF(F31&lt;&gt;"armor","","TBD")</f>
        <v/>
      </c>
      <c r="P31">
        <f>IF(O31="","",IF(OR(G31="channeling",G31="infusing"),"Magical",IF(G31="blocking","Anti-Physical",IF(G31="warding","Anti-Magical","Physical"))))</f>
        <v/>
      </c>
      <c r="S31" t="n">
        <v>4</v>
      </c>
      <c r="T31" t="inlineStr">
        <is>
          <t>Flip over to open.</t>
        </is>
      </c>
      <c r="U31" t="inlineStr">
        <is>
          <t>Something lost to the river a long time ago, and finally given back. The paper comes apart in your paws.</t>
        </is>
      </c>
      <c r="Y31" t="inlineStr">
        <is>
          <t>https://drive.google.com/uc?export=download&amp;id=1AFKkiJLx9IblKxO303EobkK1tdACk4GY</t>
        </is>
      </c>
    </row>
    <row r="32">
      <c r="A32" t="inlineStr">
        <is>
          <t>IT31</t>
        </is>
      </c>
      <c r="B32" t="inlineStr">
        <is>
          <t>item_template</t>
        </is>
      </c>
      <c r="C32" t="inlineStr">
        <is>
          <t>tile</t>
        </is>
      </c>
      <c r="D32" t="inlineStr">
        <is>
          <t>fishing</t>
        </is>
      </c>
      <c r="E32" t="inlineStr">
        <is>
          <t>Sunken Satchel</t>
        </is>
      </c>
      <c r="F32" t="inlineStr">
        <is>
          <t>consumable</t>
        </is>
      </c>
      <c r="G32" t="inlineStr">
        <is>
          <t>lootbox</t>
        </is>
      </c>
      <c r="I32" t="inlineStr">
        <is>
          <t>1</t>
        </is>
      </c>
      <c r="J32">
        <f>IF(G32="","",IFERROR(IF(G32="infusing",IFERROR(LOOKUP(2,1/ISNUMBER(SEARCH(_lookup!$D$3:$D$4,H32)),_lookup!$E$3:$E$4),"INT"),VLOOKUP(G32,_lookup!$A$3:$B$14,2,FALSE)),""))</f>
        <v/>
      </c>
      <c r="K32">
        <f>IF(F32&lt;&gt;"weapon","",IF(G32="miscellaneous","1-4",IF(I32="","",IFERROR(VLOOKUP(I32&amp;"|"&amp;IF(LEFT(H32,2)="2H",2,1)&amp;"|"&amp;IF(G32="slashing",1,0),_lookup!$G$3:$H$18,2,FALSE),""))))</f>
        <v/>
      </c>
      <c r="L32">
        <f>IF(K32="","",IF(OR(G32="channeling",G32="infusing"),"Magical",IF(G32="blocking","Anti-Physical",IF(G32="warding","Anti-Magical","Physical"))))</f>
        <v/>
      </c>
      <c r="O32">
        <f>IF(F32&lt;&gt;"armor","","TBD")</f>
        <v/>
      </c>
      <c r="P32">
        <f>IF(O32="","",IF(OR(G32="channeling",G32="infusing"),"Magical",IF(G32="blocking","Anti-Physical",IF(G32="warding","Anti-Magical","Physical"))))</f>
        <v/>
      </c>
      <c r="S32" t="n">
        <v>14</v>
      </c>
      <c r="T32" t="inlineStr">
        <is>
          <t>Flip over to open.</t>
        </is>
      </c>
      <c r="U32" t="inlineStr">
        <is>
          <t>Still buckled, still holding. Whoever packed it meant to come back for it.</t>
        </is>
      </c>
      <c r="Y32" t="inlineStr">
        <is>
          <t>https://drive.google.com/uc?export=download&amp;id=1F3cAA2jPU-gkfyvTYxlBq3tJBfBgQz5b</t>
        </is>
      </c>
    </row>
    <row r="33">
      <c r="A33" t="inlineStr">
        <is>
          <t>IT32</t>
        </is>
      </c>
      <c r="B33" t="inlineStr">
        <is>
          <t>item_template</t>
        </is>
      </c>
      <c r="C33" t="inlineStr">
        <is>
          <t>tile</t>
        </is>
      </c>
      <c r="D33" t="inlineStr">
        <is>
          <t>fishing</t>
        </is>
      </c>
      <c r="E33" t="inlineStr">
        <is>
          <t>Banded Crate</t>
        </is>
      </c>
      <c r="F33" t="inlineStr">
        <is>
          <t>consumable</t>
        </is>
      </c>
      <c r="G33" t="inlineStr">
        <is>
          <t>lootbox</t>
        </is>
      </c>
      <c r="I33" t="inlineStr">
        <is>
          <t>2</t>
        </is>
      </c>
      <c r="J33">
        <f>IF(G33="","",IFERROR(IF(G33="infusing",IFERROR(LOOKUP(2,1/ISNUMBER(SEARCH(_lookup!$D$3:$D$4,H33)),_lookup!$E$3:$E$4),"INT"),VLOOKUP(G33,_lookup!$A$3:$B$14,2,FALSE)),""))</f>
        <v/>
      </c>
      <c r="K33">
        <f>IF(F33&lt;&gt;"weapon","",IF(G33="miscellaneous","1-4",IF(I33="","",IFERROR(VLOOKUP(I33&amp;"|"&amp;IF(LEFT(H33,2)="2H",2,1)&amp;"|"&amp;IF(G33="slashing",1,0),_lookup!$G$3:$H$18,2,FALSE),""))))</f>
        <v/>
      </c>
      <c r="L33">
        <f>IF(K33="","",IF(OR(G33="channeling",G33="infusing"),"Magical",IF(G33="blocking","Anti-Physical",IF(G33="warding","Anti-Magical","Physical"))))</f>
        <v/>
      </c>
      <c r="O33">
        <f>IF(F33&lt;&gt;"armor","","TBD")</f>
        <v/>
      </c>
      <c r="P33">
        <f>IF(O33="","",IF(OR(G33="channeling",G33="infusing"),"Magical",IF(G33="blocking","Anti-Physical",IF(G33="warding","Anti-Magical","Physical"))))</f>
        <v/>
      </c>
      <c r="S33" t="n">
        <v>41</v>
      </c>
      <c r="T33" t="inlineStr">
        <is>
          <t>Flip over to open.</t>
        </is>
      </c>
      <c r="U33" t="inlineStr">
        <is>
          <t>Iron bands over dark wood, the lock long since rusted through. Marquisate work, by the stamp on the hasp.</t>
        </is>
      </c>
      <c r="Y33" t="inlineStr">
        <is>
          <t>https://drive.google.com/uc?export=download&amp;id=1Lx27boIuKuMOt6zFcd0GOoBiRBuvZKg3</t>
        </is>
      </c>
    </row>
    <row r="34">
      <c r="A34" t="inlineStr">
        <is>
          <t>IT33</t>
        </is>
      </c>
      <c r="B34" t="inlineStr">
        <is>
          <t>item_template</t>
        </is>
      </c>
      <c r="C34" t="inlineStr">
        <is>
          <t>tile</t>
        </is>
      </c>
      <c r="D34" t="inlineStr">
        <is>
          <t>fishing</t>
        </is>
      </c>
      <c r="E34" t="inlineStr">
        <is>
          <t>Riverbed Chest</t>
        </is>
      </c>
      <c r="F34" t="inlineStr">
        <is>
          <t>consumable</t>
        </is>
      </c>
      <c r="G34" t="inlineStr">
        <is>
          <t>lootbox</t>
        </is>
      </c>
      <c r="I34" t="inlineStr">
        <is>
          <t>3</t>
        </is>
      </c>
      <c r="J34">
        <f>IF(G34="","",IFERROR(IF(G34="infusing",IFERROR(LOOKUP(2,1/ISNUMBER(SEARCH(_lookup!$D$3:$D$4,H34)),_lookup!$E$3:$E$4),"INT"),VLOOKUP(G34,_lookup!$A$3:$B$14,2,FALSE)),""))</f>
        <v/>
      </c>
      <c r="K34">
        <f>IF(F34&lt;&gt;"weapon","",IF(G34="miscellaneous","1-4",IF(I34="","",IFERROR(VLOOKUP(I34&amp;"|"&amp;IF(LEFT(H34,2)="2H",2,1)&amp;"|"&amp;IF(G34="slashing",1,0),_lookup!$G$3:$H$18,2,FALSE),""))))</f>
        <v/>
      </c>
      <c r="L34">
        <f>IF(K34="","",IF(OR(G34="channeling",G34="infusing"),"Magical",IF(G34="blocking","Anti-Physical",IF(G34="warding","Anti-Magical","Physical"))))</f>
        <v/>
      </c>
      <c r="O34">
        <f>IF(F34&lt;&gt;"armor","","TBD")</f>
        <v/>
      </c>
      <c r="P34">
        <f>IF(O34="","",IF(OR(G34="channeling",G34="infusing"),"Magical",IF(G34="blocking","Anti-Physical",IF(G34="warding","Anti-Magical","Physical"))))</f>
        <v/>
      </c>
      <c r="S34" t="n">
        <v>79</v>
      </c>
      <c r="T34" t="inlineStr">
        <is>
          <t>Flip over to open.</t>
        </is>
      </c>
      <c r="U34" t="inlineStr">
        <is>
          <t>Heavy, and sealed well enough that the water never got in. Something was worth hiding at the bottom of a river.</t>
        </is>
      </c>
      <c r="Y34" t="inlineStr">
        <is>
          <t>https://drive.google.com/uc?export=download&amp;id=1oLVZXSecu_g4a3gjEdhBEEmwNBn0MeVx</t>
        </is>
      </c>
    </row>
    <row r="35">
      <c r="A35" t="inlineStr">
        <is>
          <t>IT34</t>
        </is>
      </c>
      <c r="B35" t="inlineStr">
        <is>
          <t>item_template</t>
        </is>
      </c>
      <c r="C35" t="inlineStr">
        <is>
          <t>tile</t>
        </is>
      </c>
      <c r="D35" t="inlineStr">
        <is>
          <t>fishing</t>
        </is>
      </c>
      <c r="E35" t="inlineStr">
        <is>
          <t>Wax-Sealed Backpack</t>
        </is>
      </c>
      <c r="F35" t="inlineStr">
        <is>
          <t>goods</t>
        </is>
      </c>
      <c r="G35" t="inlineStr">
        <is>
          <t>miscellaneous</t>
        </is>
      </c>
      <c r="J35">
        <f>IF(G35="","",IFERROR(IF(G35="infusing",IFERROR(LOOKUP(2,1/ISNUMBER(SEARCH(_lookup!$D$3:$D$4,H35)),_lookup!$E$3:$E$4),"INT"),VLOOKUP(G35,_lookup!$A$3:$B$14,2,FALSE)),""))</f>
        <v/>
      </c>
      <c r="K35">
        <f>IF(F35&lt;&gt;"weapon","",IF(G35="miscellaneous","1-4",IF(I35="","",IFERROR(VLOOKUP(I35&amp;"|"&amp;IF(LEFT(H35,2)="2H",2,1)&amp;"|"&amp;IF(G35="slashing",1,0),_lookup!$G$3:$H$18,2,FALSE),""))))</f>
        <v/>
      </c>
      <c r="L35">
        <f>IF(K35="","",IF(OR(G35="channeling",G35="infusing"),"Magical",IF(G35="blocking","Anti-Physical",IF(G35="warding","Anti-Magical","Physical"))))</f>
        <v/>
      </c>
      <c r="O35">
        <f>IF(F35&lt;&gt;"armor","","TBD")</f>
        <v/>
      </c>
      <c r="P35">
        <f>IF(O35="","",IF(OR(G35="channeling",G35="infusing"),"Magical",IF(G35="blocking","Anti-Physical",IF(G35="warding","Anti-Magical","Physical"))))</f>
        <v/>
      </c>
      <c r="T35" t="inlineStr">
        <is>
          <t>Expands inventory by 6.</t>
        </is>
      </c>
      <c r="U35" t="inlineStr">
        <is>
          <t>Dry and good-as-new, this pack seems to have been mistakenly lost to water along some Riverfolk trade route.</t>
        </is>
      </c>
      <c r="Y35" t="inlineStr">
        <is>
          <t>https://drive.google.com/uc?export=download&amp;id=1O3TmbtOtYNRd66h1NsbUH-LMfTUP0okT</t>
        </is>
      </c>
    </row>
    <row r="36">
      <c r="A36" t="inlineStr">
        <is>
          <t>IT35</t>
        </is>
      </c>
      <c r="B36" t="inlineStr">
        <is>
          <t>item_template</t>
        </is>
      </c>
      <c r="C36" t="inlineStr">
        <is>
          <t>tile</t>
        </is>
      </c>
      <c r="D36" t="inlineStr">
        <is>
          <t>fishing</t>
        </is>
      </c>
      <c r="E36" t="inlineStr">
        <is>
          <t>Crab Trap</t>
        </is>
      </c>
      <c r="F36" t="inlineStr">
        <is>
          <t>consumable</t>
        </is>
      </c>
      <c r="G36" t="inlineStr">
        <is>
          <t>lootbox</t>
        </is>
      </c>
      <c r="I36" t="inlineStr">
        <is>
          <t>0</t>
        </is>
      </c>
      <c r="J36">
        <f>IF(G36="","",IFERROR(IF(G36="infusing",IFERROR(LOOKUP(2,1/ISNUMBER(SEARCH(_lookup!$D$3:$D$4,H36)),_lookup!$E$3:$E$4),"INT"),VLOOKUP(G36,_lookup!$A$3:$B$14,2,FALSE)),""))</f>
        <v/>
      </c>
      <c r="K36">
        <f>IF(F36&lt;&gt;"weapon","",IF(G36="miscellaneous","1-4",IF(I36="","",IFERROR(VLOOKUP(I36&amp;"|"&amp;IF(LEFT(H36,2)="2H",2,1)&amp;"|"&amp;IF(G36="slashing",1,0),_lookup!$G$3:$H$18,2,FALSE),""))))</f>
        <v/>
      </c>
      <c r="L36">
        <f>IF(K36="","",IF(OR(G36="channeling",G36="infusing"),"Magical",IF(G36="blocking","Anti-Physical",IF(G36="warding","Anti-Magical","Physical"))))</f>
        <v/>
      </c>
      <c r="O36">
        <f>IF(F36&lt;&gt;"armor","","TBD")</f>
        <v/>
      </c>
      <c r="P36">
        <f>IF(O36="","",IF(OR(G36="channeling",G36="infusing"),"Magical",IF(G36="blocking","Anti-Physical",IF(G36="warding","Anti-Magical","Physical"))))</f>
        <v/>
      </c>
      <c r="S36" t="n">
        <v>4</v>
      </c>
      <c r="T36" t="inlineStr">
        <is>
          <t>Flip over to open.</t>
        </is>
      </c>
      <c r="U36" t="inlineStr">
        <is>
          <t>A slatted basket weighted with stones and baited with whatever was going spare. Left overnight in the shallows, it is never quite empty by morning.</t>
        </is>
      </c>
      <c r="Y36" t="inlineStr">
        <is>
          <t>https://drive.google.com/uc?export=download&amp;id=15oYc5zZbsdafWF3cZKVy5vq8mUw1kwAO</t>
        </is>
      </c>
    </row>
    <row r="37">
      <c r="A37" t="inlineStr">
        <is>
          <t>IT36</t>
        </is>
      </c>
      <c r="B37" t="inlineStr">
        <is>
          <t>item_template</t>
        </is>
      </c>
      <c r="C37" t="inlineStr">
        <is>
          <t>tile</t>
        </is>
      </c>
      <c r="D37" t="inlineStr">
        <is>
          <t>fishing</t>
        </is>
      </c>
      <c r="E37" t="inlineStr">
        <is>
          <t>Mysterious Key</t>
        </is>
      </c>
      <c r="F37" t="inlineStr">
        <is>
          <t>goods</t>
        </is>
      </c>
      <c r="G37" t="inlineStr">
        <is>
          <t>quest</t>
        </is>
      </c>
      <c r="J37">
        <f>IF(G37="","",IFERROR(IF(G37="infusing",IFERROR(LOOKUP(2,1/ISNUMBER(SEARCH(_lookup!$D$3:$D$4,H37)),_lookup!$E$3:$E$4),"INT"),VLOOKUP(G37,_lookup!$A$3:$B$14,2,FALSE)),""))</f>
        <v/>
      </c>
      <c r="K37">
        <f>IF(F37&lt;&gt;"weapon","",IF(G37="miscellaneous","1-4",IF(I37="","",IFERROR(VLOOKUP(I37&amp;"|"&amp;IF(LEFT(H37,2)="2H",2,1)&amp;"|"&amp;IF(G37="slashing",1,0),_lookup!$G$3:$H$18,2,FALSE),""))))</f>
        <v/>
      </c>
      <c r="L37">
        <f>IF(K37="","",IF(OR(G37="channeling",G37="infusing"),"Magical",IF(G37="blocking","Anti-Physical",IF(G37="warding","Anti-Magical","Physical"))))</f>
        <v/>
      </c>
      <c r="O37">
        <f>IF(F37&lt;&gt;"armor","","TBD")</f>
        <v/>
      </c>
      <c r="P37">
        <f>IF(O37="","",IF(OR(G37="channeling",G37="infusing"),"Magical",IF(G37="blocking","Anti-Physical",IF(G37="warding","Anti-Magical","Physical"))))</f>
        <v/>
      </c>
      <c r="T37" t="inlineStr">
        <is>
          <t>Starts the "Mysterious Key" Quest.</t>
        </is>
      </c>
      <c r="U37" t="inlineStr">
        <is>
          <t>Small, cold, and far better made than anything that ought to turn up in a river. The bow is worked into a shape you do not recognise, and the wards fit no lock you have ever seen.</t>
        </is>
      </c>
      <c r="Y37" t="inlineStr">
        <is>
          <t>https://drive.google.com/uc?export=download&amp;id=1B6pMRRQiEzoBH8KaPW0leoi8yldUVdpT</t>
        </is>
      </c>
    </row>
    <row r="38">
      <c r="A38" t="inlineStr">
        <is>
          <t>IT37</t>
        </is>
      </c>
      <c r="B38" t="inlineStr">
        <is>
          <t>item_template</t>
        </is>
      </c>
      <c r="C38" t="inlineStr">
        <is>
          <t>tile</t>
        </is>
      </c>
      <c r="D38" t="inlineStr">
        <is>
          <t>fishing</t>
        </is>
      </c>
      <c r="E38" t="inlineStr">
        <is>
          <t>Lustrous Pearl</t>
        </is>
      </c>
      <c r="F38" t="inlineStr">
        <is>
          <t>goods</t>
        </is>
      </c>
      <c r="G38" t="inlineStr">
        <is>
          <t>material</t>
        </is>
      </c>
      <c r="H38" t="inlineStr">
        <is>
          <t>gem</t>
        </is>
      </c>
      <c r="I38" t="inlineStr">
        <is>
          <t>0</t>
        </is>
      </c>
      <c r="J38">
        <f>IF(G38="","",IFERROR(IF(G38="infusing",IFERROR(LOOKUP(2,1/ISNUMBER(SEARCH(_lookup!$D$3:$D$4,H38)),_lookup!$E$3:$E$4),"INT"),VLOOKUP(G38,_lookup!$A$3:$B$14,2,FALSE)),""))</f>
        <v/>
      </c>
      <c r="K38">
        <f>IF(F38&lt;&gt;"weapon","",IF(G38="miscellaneous","1-4",IF(I38="","",IFERROR(VLOOKUP(I38&amp;"|"&amp;IF(LEFT(H38,2)="2H",2,1)&amp;"|"&amp;IF(G38="slashing",1,0),_lookup!$G$3:$H$18,2,FALSE),""))))</f>
        <v/>
      </c>
      <c r="L38">
        <f>IF(K38="","",IF(OR(G38="channeling",G38="infusing"),"Magical",IF(G38="blocking","Anti-Physical",IF(G38="warding","Anti-Magical","Physical"))))</f>
        <v/>
      </c>
      <c r="O38">
        <f>IF(F38&lt;&gt;"armor","","TBD")</f>
        <v/>
      </c>
      <c r="P38">
        <f>IF(O38="","",IF(OR(G38="channeling",G38="infusing"),"Magical",IF(G38="blocking","Anti-Physical",IF(G38="warding","Anti-Magical","Physical"))))</f>
        <v/>
      </c>
      <c r="S38" t="n">
        <v>3</v>
      </c>
      <c r="T38" t="inlineStr">
        <is>
          <t>Used to craft tier 0 Jewelcrafting trinkets.</t>
        </is>
      </c>
      <c r="U38" t="inlineStr">
        <is>
          <t>A small, honest pearl with a clean white shine. Common enough along the river, and still the first thing a young clam-diver shows their family.</t>
        </is>
      </c>
      <c r="X38" t="inlineStr">
        <is>
          <t>gem0</t>
        </is>
      </c>
      <c r="Y38" t="inlineStr">
        <is>
          <t>https://drive.google.com/uc?export=download&amp;id=1QmxvfYCTwjWCpgVgBgrZq5i7IjzVrYDu</t>
        </is>
      </c>
    </row>
    <row r="39">
      <c r="A39" t="inlineStr">
        <is>
          <t>IT38</t>
        </is>
      </c>
      <c r="B39" t="inlineStr">
        <is>
          <t>item_template</t>
        </is>
      </c>
      <c r="C39" t="inlineStr">
        <is>
          <t>tile</t>
        </is>
      </c>
      <c r="D39" t="inlineStr">
        <is>
          <t>fishing</t>
        </is>
      </c>
      <c r="E39" t="inlineStr">
        <is>
          <t>Iridescent Pearl</t>
        </is>
      </c>
      <c r="F39" t="inlineStr">
        <is>
          <t>goods</t>
        </is>
      </c>
      <c r="G39" t="inlineStr">
        <is>
          <t>material</t>
        </is>
      </c>
      <c r="H39" t="inlineStr">
        <is>
          <t>gem</t>
        </is>
      </c>
      <c r="I39" t="inlineStr">
        <is>
          <t>1</t>
        </is>
      </c>
      <c r="J39">
        <f>IF(G39="","",IFERROR(IF(G39="infusing",IFERROR(LOOKUP(2,1/ISNUMBER(SEARCH(_lookup!$D$3:$D$4,H39)),_lookup!$E$3:$E$4),"INT"),VLOOKUP(G39,_lookup!$A$3:$B$14,2,FALSE)),""))</f>
        <v/>
      </c>
      <c r="K39">
        <f>IF(F39&lt;&gt;"weapon","",IF(G39="miscellaneous","1-4",IF(I39="","",IFERROR(VLOOKUP(I39&amp;"|"&amp;IF(LEFT(H39,2)="2H",2,1)&amp;"|"&amp;IF(G39="slashing",1,0),_lookup!$G$3:$H$18,2,FALSE),""))))</f>
        <v/>
      </c>
      <c r="L39">
        <f>IF(K39="","",IF(OR(G39="channeling",G39="infusing"),"Magical",IF(G39="blocking","Anti-Physical",IF(G39="warding","Anti-Magical","Physical"))))</f>
        <v/>
      </c>
      <c r="O39">
        <f>IF(F39&lt;&gt;"armor","","TBD")</f>
        <v/>
      </c>
      <c r="P39">
        <f>IF(O39="","",IF(OR(G39="channeling",G39="infusing"),"Magical",IF(G39="blocking","Anti-Physical",IF(G39="warding","Anti-Magical","Physical"))))</f>
        <v/>
      </c>
      <c r="S39" t="n">
        <v>11</v>
      </c>
      <c r="T39" t="inlineStr">
        <is>
          <t>Used to craft tier 1 Jewelcrafting trinkets.</t>
        </is>
      </c>
      <c r="U39" t="inlineStr">
        <is>
          <t>It holds a faint rainbow at the edge of the light, as though it has not quite decided on a colour. Jewellers pay well and argue about why.</t>
        </is>
      </c>
      <c r="X39" t="inlineStr">
        <is>
          <t>gem1</t>
        </is>
      </c>
      <c r="Y39" t="inlineStr">
        <is>
          <t>https://drive.google.com/uc?export=download&amp;id=1jOc6uiqfr3_6za1mvr7nPbBtR0UqnaSg</t>
        </is>
      </c>
    </row>
    <row r="40">
      <c r="A40" t="inlineStr">
        <is>
          <t>IT39</t>
        </is>
      </c>
      <c r="B40" t="inlineStr">
        <is>
          <t>item_template</t>
        </is>
      </c>
      <c r="C40" t="inlineStr">
        <is>
          <t>tile</t>
        </is>
      </c>
      <c r="D40" t="inlineStr">
        <is>
          <t>fishing</t>
        </is>
      </c>
      <c r="E40" t="inlineStr">
        <is>
          <t>Golden Pearl</t>
        </is>
      </c>
      <c r="F40" t="inlineStr">
        <is>
          <t>goods</t>
        </is>
      </c>
      <c r="G40" t="inlineStr">
        <is>
          <t>material</t>
        </is>
      </c>
      <c r="H40" t="inlineStr">
        <is>
          <t>gem</t>
        </is>
      </c>
      <c r="I40" t="inlineStr">
        <is>
          <t>2</t>
        </is>
      </c>
      <c r="J40">
        <f>IF(G40="","",IFERROR(IF(G40="infusing",IFERROR(LOOKUP(2,1/ISNUMBER(SEARCH(_lookup!$D$3:$D$4,H40)),_lookup!$E$3:$E$4),"INT"),VLOOKUP(G40,_lookup!$A$3:$B$14,2,FALSE)),""))</f>
        <v/>
      </c>
      <c r="K40">
        <f>IF(F40&lt;&gt;"weapon","",IF(G40="miscellaneous","1-4",IF(I40="","",IFERROR(VLOOKUP(I40&amp;"|"&amp;IF(LEFT(H40,2)="2H",2,1)&amp;"|"&amp;IF(G40="slashing",1,0),_lookup!$G$3:$H$18,2,FALSE),""))))</f>
        <v/>
      </c>
      <c r="L40">
        <f>IF(K40="","",IF(OR(G40="channeling",G40="infusing"),"Magical",IF(G40="blocking","Anti-Physical",IF(G40="warding","Anti-Magical","Physical"))))</f>
        <v/>
      </c>
      <c r="O40">
        <f>IF(F40&lt;&gt;"armor","","TBD")</f>
        <v/>
      </c>
      <c r="P40">
        <f>IF(O40="","",IF(OR(G40="channeling",G40="infusing"),"Magical",IF(G40="blocking","Anti-Physical",IF(G40="warding","Anti-Magical","Physical"))))</f>
        <v/>
      </c>
      <c r="S40" t="n">
        <v>45</v>
      </c>
      <c r="T40" t="inlineStr">
        <is>
          <t>Used to craft tier 2 Jewelcrafting trinkets.</t>
        </is>
      </c>
      <c r="U40" t="inlineStr">
        <is>
          <t>Warm as lamplight and twice as rare. The Eyrie court is said to prize these above gemstones, which has done nothing good for the clam beds.</t>
        </is>
      </c>
      <c r="X40" t="inlineStr">
        <is>
          <t>gem2</t>
        </is>
      </c>
      <c r="Y40" t="inlineStr">
        <is>
          <t>https://drive.google.com/uc?export=download&amp;id=1QBmNqi2YFALNftHUymcf2jPH9h8Wrs6Z</t>
        </is>
      </c>
    </row>
    <row r="41">
      <c r="A41" t="inlineStr">
        <is>
          <t>IT40</t>
        </is>
      </c>
      <c r="B41" t="inlineStr">
        <is>
          <t>item_template</t>
        </is>
      </c>
      <c r="C41" t="inlineStr">
        <is>
          <t>tile</t>
        </is>
      </c>
      <c r="D41" t="inlineStr">
        <is>
          <t>fishing</t>
        </is>
      </c>
      <c r="E41" t="inlineStr">
        <is>
          <t>Black Pearl</t>
        </is>
      </c>
      <c r="F41" t="inlineStr">
        <is>
          <t>goods</t>
        </is>
      </c>
      <c r="G41" t="inlineStr">
        <is>
          <t>material</t>
        </is>
      </c>
      <c r="H41" t="inlineStr">
        <is>
          <t>gem</t>
        </is>
      </c>
      <c r="I41" t="inlineStr">
        <is>
          <t>3</t>
        </is>
      </c>
      <c r="J41">
        <f>IF(G41="","",IFERROR(IF(G41="infusing",IFERROR(LOOKUP(2,1/ISNUMBER(SEARCH(_lookup!$D$3:$D$4,H41)),_lookup!$E$3:$E$4),"INT"),VLOOKUP(G41,_lookup!$A$3:$B$14,2,FALSE)),""))</f>
        <v/>
      </c>
      <c r="K41">
        <f>IF(F41&lt;&gt;"weapon","",IF(G41="miscellaneous","1-4",IF(I41="","",IFERROR(VLOOKUP(I41&amp;"|"&amp;IF(LEFT(H41,2)="2H",2,1)&amp;"|"&amp;IF(G41="slashing",1,0),_lookup!$G$3:$H$18,2,FALSE),""))))</f>
        <v/>
      </c>
      <c r="L41">
        <f>IF(K41="","",IF(OR(G41="channeling",G41="infusing"),"Magical",IF(G41="blocking","Anti-Physical",IF(G41="warding","Anti-Magical","Physical"))))</f>
        <v/>
      </c>
      <c r="O41">
        <f>IF(F41&lt;&gt;"armor","","TBD")</f>
        <v/>
      </c>
      <c r="P41">
        <f>IF(O41="","",IF(OR(G41="channeling",G41="infusing"),"Magical",IF(G41="blocking","Anti-Physical",IF(G41="warding","Anti-Magical","Physical"))))</f>
        <v/>
      </c>
      <c r="S41" t="n">
        <v>125</v>
      </c>
      <c r="T41" t="inlineStr">
        <is>
          <t>Used to craft tier 3 Jewelcrafting trinkets.</t>
        </is>
      </c>
      <c r="U41" t="inlineStr">
        <is>
          <t>Dark as a deep pool, with a slow shimmer under the surface. Perhaps one clam in a thousand ever makes one, and most of those are never found.</t>
        </is>
      </c>
      <c r="X41" t="inlineStr">
        <is>
          <t>gem3</t>
        </is>
      </c>
      <c r="Y41" t="inlineStr">
        <is>
          <t>https://drive.google.com/uc?export=download&amp;id=1oTj0LbSqUxRfArCo5CU1ATkUx4Kk52qN</t>
        </is>
      </c>
    </row>
    <row r="42">
      <c r="A42" t="inlineStr">
        <is>
          <t>IT41</t>
        </is>
      </c>
      <c r="B42" t="inlineStr">
        <is>
          <t>item_template</t>
        </is>
      </c>
      <c r="C42" t="inlineStr">
        <is>
          <t>tile</t>
        </is>
      </c>
      <c r="D42" t="inlineStr">
        <is>
          <t>fishing</t>
        </is>
      </c>
      <c r="E42" t="inlineStr">
        <is>
          <t>Spiral Snail</t>
        </is>
      </c>
      <c r="F42" t="inlineStr">
        <is>
          <t>goods</t>
        </is>
      </c>
      <c r="G42" t="inlineStr">
        <is>
          <t>quest</t>
        </is>
      </c>
      <c r="I42" t="inlineStr">
        <is>
          <t>0</t>
        </is>
      </c>
      <c r="J42">
        <f>IF(G42="","",IFERROR(IF(G42="infusing",IFERROR(LOOKUP(2,1/ISNUMBER(SEARCH(_lookup!$D$3:$D$4,H42)),_lookup!$E$3:$E$4),"INT"),VLOOKUP(G42,_lookup!$A$3:$B$14,2,FALSE)),""))</f>
        <v/>
      </c>
      <c r="K42">
        <f>IF(F42&lt;&gt;"weapon","",IF(G42="miscellaneous","1-4",IF(I42="","",IFERROR(VLOOKUP(I42&amp;"|"&amp;IF(LEFT(H42,2)="2H",2,1)&amp;"|"&amp;IF(G42="slashing",1,0),_lookup!$G$3:$H$18,2,FALSE),""))))</f>
        <v/>
      </c>
      <c r="L42">
        <f>IF(K42="","",IF(OR(G42="channeling",G42="infusing"),"Magical",IF(G42="blocking","Anti-Physical",IF(G42="warding","Anti-Magical","Physical"))))</f>
        <v/>
      </c>
      <c r="O42">
        <f>IF(F42&lt;&gt;"armor","","TBD")</f>
        <v/>
      </c>
      <c r="P42">
        <f>IF(O42="","",IF(OR(G42="channeling",G42="infusing"),"Magical",IF(G42="blocking","Anti-Physical",IF(G42="warding","Anti-Magical","Physical"))))</f>
        <v/>
      </c>
      <c r="S42" t="n">
        <v>5</v>
      </c>
      <c r="T42" t="inlineStr">
        <is>
          <t>Related to the "Pets Store" Quest.</t>
        </is>
      </c>
      <c r="U42" t="inlineStr">
        <is>
          <t>A placid, patterned little thing that rides happily on a pack strap and asks for nothing but the occasional leaf.</t>
        </is>
      </c>
      <c r="Y42" t="inlineStr">
        <is>
          <t>https://drive.google.com/uc?export=download&amp;id=1_g1N34Qh6d7WzLtFqa74TIKvS2IycbAc</t>
        </is>
      </c>
    </row>
    <row r="43">
      <c r="A43" t="inlineStr">
        <is>
          <t>IT42</t>
        </is>
      </c>
      <c r="B43" t="inlineStr">
        <is>
          <t>item_template</t>
        </is>
      </c>
      <c r="C43" t="inlineStr">
        <is>
          <t>tile</t>
        </is>
      </c>
      <c r="D43" t="inlineStr">
        <is>
          <t>fishing</t>
        </is>
      </c>
      <c r="E43" t="inlineStr">
        <is>
          <t>Pink Prawn</t>
        </is>
      </c>
      <c r="F43" t="inlineStr">
        <is>
          <t>goods</t>
        </is>
      </c>
      <c r="G43" t="inlineStr">
        <is>
          <t>quest</t>
        </is>
      </c>
      <c r="I43" t="inlineStr">
        <is>
          <t>1</t>
        </is>
      </c>
      <c r="J43">
        <f>IF(G43="","",IFERROR(IF(G43="infusing",IFERROR(LOOKUP(2,1/ISNUMBER(SEARCH(_lookup!$D$3:$D$4,H43)),_lookup!$E$3:$E$4),"INT"),VLOOKUP(G43,_lookup!$A$3:$B$14,2,FALSE)),""))</f>
        <v/>
      </c>
      <c r="K43">
        <f>IF(F43&lt;&gt;"weapon","",IF(G43="miscellaneous","1-4",IF(I43="","",IFERROR(VLOOKUP(I43&amp;"|"&amp;IF(LEFT(H43,2)="2H",2,1)&amp;"|"&amp;IF(G43="slashing",1,0),_lookup!$G$3:$H$18,2,FALSE),""))))</f>
        <v/>
      </c>
      <c r="L43">
        <f>IF(K43="","",IF(OR(G43="channeling",G43="infusing"),"Magical",IF(G43="blocking","Anti-Physical",IF(G43="warding","Anti-Magical","Physical"))))</f>
        <v/>
      </c>
      <c r="O43">
        <f>IF(F43&lt;&gt;"armor","","TBD")</f>
        <v/>
      </c>
      <c r="P43">
        <f>IF(O43="","",IF(OR(G43="channeling",G43="infusing"),"Magical",IF(G43="blocking","Anti-Physical",IF(G43="warding","Anti-Magical","Physical"))))</f>
        <v/>
      </c>
      <c r="S43" t="n">
        <v>15</v>
      </c>
      <c r="T43" t="inlineStr">
        <is>
          <t>Related to the "Pets Store" Quest.</t>
        </is>
      </c>
      <c r="U43" t="inlineStr">
        <is>
          <t>Translucent, twitchy, and entirely convinced it is in danger. It is not, but there is no telling it so.</t>
        </is>
      </c>
      <c r="Y43" t="inlineStr">
        <is>
          <t>https://drive.google.com/uc?export=download&amp;id=1jKEJkp5bO3bsYmSmPKJ2OzgeU6qotyuM</t>
        </is>
      </c>
    </row>
    <row r="44">
      <c r="A44" t="inlineStr">
        <is>
          <t>IT43</t>
        </is>
      </c>
      <c r="B44" t="inlineStr">
        <is>
          <t>item_template</t>
        </is>
      </c>
      <c r="C44" t="inlineStr">
        <is>
          <t>tile</t>
        </is>
      </c>
      <c r="D44" t="inlineStr">
        <is>
          <t>fishing</t>
        </is>
      </c>
      <c r="E44" t="inlineStr">
        <is>
          <t>Red Lobster</t>
        </is>
      </c>
      <c r="F44" t="inlineStr">
        <is>
          <t>goods</t>
        </is>
      </c>
      <c r="G44" t="inlineStr">
        <is>
          <t>quest</t>
        </is>
      </c>
      <c r="I44" t="inlineStr">
        <is>
          <t>2</t>
        </is>
      </c>
      <c r="J44">
        <f>IF(G44="","",IFERROR(IF(G44="infusing",IFERROR(LOOKUP(2,1/ISNUMBER(SEARCH(_lookup!$D$3:$D$4,H44)),_lookup!$E$3:$E$4),"INT"),VLOOKUP(G44,_lookup!$A$3:$B$14,2,FALSE)),""))</f>
        <v/>
      </c>
      <c r="K44">
        <f>IF(F44&lt;&gt;"weapon","",IF(G44="miscellaneous","1-4",IF(I44="","",IFERROR(VLOOKUP(I44&amp;"|"&amp;IF(LEFT(H44,2)="2H",2,1)&amp;"|"&amp;IF(G44="slashing",1,0),_lookup!$G$3:$H$18,2,FALSE),""))))</f>
        <v/>
      </c>
      <c r="L44">
        <f>IF(K44="","",IF(OR(G44="channeling",G44="infusing"),"Magical",IF(G44="blocking","Anti-Physical",IF(G44="warding","Anti-Magical","Physical"))))</f>
        <v/>
      </c>
      <c r="O44">
        <f>IF(F44&lt;&gt;"armor","","TBD")</f>
        <v/>
      </c>
      <c r="P44">
        <f>IF(O44="","",IF(OR(G44="channeling",G44="infusing"),"Magical",IF(G44="blocking","Anti-Physical",IF(G44="warding","Anti-Magical","Physical"))))</f>
        <v/>
      </c>
      <c r="S44" t="n">
        <v>60</v>
      </c>
      <c r="T44" t="inlineStr">
        <is>
          <t>Related to the "Pets Store" Quest.</t>
        </is>
      </c>
      <c r="U44" t="inlineStr">
        <is>
          <t>Bold, bright and quick to raise its claws at anything larger than itself, which is everything.</t>
        </is>
      </c>
      <c r="Y44" t="inlineStr">
        <is>
          <t>https://drive.google.com/uc?export=download&amp;id=1soOX4LPKvxsaxjMP2nEqjore-KQHnOXj</t>
        </is>
      </c>
    </row>
    <row r="45">
      <c r="A45" t="inlineStr">
        <is>
          <t>IT44</t>
        </is>
      </c>
      <c r="B45" t="inlineStr">
        <is>
          <t>item_template</t>
        </is>
      </c>
      <c r="C45" t="inlineStr">
        <is>
          <t>tile</t>
        </is>
      </c>
      <c r="D45" t="inlineStr">
        <is>
          <t>fishing</t>
        </is>
      </c>
      <c r="E45" t="inlineStr">
        <is>
          <t>River Crab</t>
        </is>
      </c>
      <c r="F45" t="inlineStr">
        <is>
          <t>goods</t>
        </is>
      </c>
      <c r="G45" t="inlineStr">
        <is>
          <t>quest</t>
        </is>
      </c>
      <c r="I45" t="inlineStr">
        <is>
          <t>3</t>
        </is>
      </c>
      <c r="J45">
        <f>IF(G45="","",IFERROR(IF(G45="infusing",IFERROR(LOOKUP(2,1/ISNUMBER(SEARCH(_lookup!$D$3:$D$4,H45)),_lookup!$E$3:$E$4),"INT"),VLOOKUP(G45,_lookup!$A$3:$B$14,2,FALSE)),""))</f>
        <v/>
      </c>
      <c r="K45">
        <f>IF(F45&lt;&gt;"weapon","",IF(G45="miscellaneous","1-4",IF(I45="","",IFERROR(VLOOKUP(I45&amp;"|"&amp;IF(LEFT(H45,2)="2H",2,1)&amp;"|"&amp;IF(G45="slashing",1,0),_lookup!$G$3:$H$18,2,FALSE),""))))</f>
        <v/>
      </c>
      <c r="L45">
        <f>IF(K45="","",IF(OR(G45="channeling",G45="infusing"),"Magical",IF(G45="blocking","Anti-Physical",IF(G45="warding","Anti-Magical","Physical"))))</f>
        <v/>
      </c>
      <c r="O45">
        <f>IF(F45&lt;&gt;"armor","","TBD")</f>
        <v/>
      </c>
      <c r="P45">
        <f>IF(O45="","",IF(OR(G45="channeling",G45="infusing"),"Magical",IF(G45="blocking","Anti-Physical",IF(G45="warding","Anti-Magical","Physical"))))</f>
        <v/>
      </c>
      <c r="S45" t="n">
        <v>150</v>
      </c>
      <c r="T45" t="inlineStr">
        <is>
          <t>Related to the "Pets Store" Quest.</t>
        </is>
      </c>
      <c r="U45" t="inlineStr">
        <is>
          <t>Broad-backed and unhurried, with one claw noticeably larger than the other. It regards you with the calm of something that has outlived every danger the river has offered so far.</t>
        </is>
      </c>
      <c r="Y45" t="inlineStr">
        <is>
          <t>https://drive.google.com/uc?export=download&amp;id=1vzgCnT0R4cmZp98ixVBwaBfzOCyTN43_</t>
        </is>
      </c>
    </row>
    <row r="46">
      <c r="A46" t="inlineStr">
        <is>
          <t>IT45</t>
        </is>
      </c>
      <c r="B46" t="inlineStr">
        <is>
          <t>item_template</t>
        </is>
      </c>
      <c r="C46" t="inlineStr">
        <is>
          <t>tile</t>
        </is>
      </c>
      <c r="D46" t="inlineStr">
        <is>
          <t>fishing</t>
        </is>
      </c>
      <c r="E46" t="inlineStr">
        <is>
          <t>Fishing Pole</t>
        </is>
      </c>
      <c r="F46" t="inlineStr">
        <is>
          <t>weapon</t>
        </is>
      </c>
      <c r="G46" t="inlineStr">
        <is>
          <t>miscellaneous</t>
        </is>
      </c>
      <c r="H46" t="inlineStr">
        <is>
          <t>1H</t>
        </is>
      </c>
      <c r="I46" t="inlineStr">
        <is>
          <t>0</t>
        </is>
      </c>
      <c r="J46">
        <f>IF(G46="","",IFERROR(IF(G46="infusing",IFERROR(LOOKUP(2,1/ISNUMBER(SEARCH(_lookup!$D$3:$D$4,H46)),_lookup!$E$3:$E$4),"INT"),VLOOKUP(G46,_lookup!$A$3:$B$14,2,FALSE)),""))</f>
        <v/>
      </c>
      <c r="K46">
        <f>IF(F46&lt;&gt;"weapon","",IF(G46="miscellaneous","1-4",IF(I46="","",IFERROR(VLOOKUP(I46&amp;"|"&amp;IF(LEFT(H46,2)="2H",2,1)&amp;"|"&amp;IF(G46="slashing",1,0),_lookup!$G$3:$H$18,2,FALSE),""))))</f>
        <v/>
      </c>
      <c r="L46">
        <f>IF(K46="","",IF(OR(G46="channeling",G46="infusing"),"Magical",IF(G46="blocking","Anti-Physical",IF(G46="warding","Anti-Magical","Physical"))))</f>
        <v/>
      </c>
      <c r="O46">
        <f>IF(F46&lt;&gt;"armor","","TBD")</f>
        <v/>
      </c>
      <c r="P46">
        <f>IF(O46="","",IF(OR(G46="channeling",G46="infusing"),"Magical",IF(G46="blocking","Anti-Physical",IF(G46="warding","Anti-Magical","Physical"))))</f>
        <v/>
      </c>
      <c r="S46" t="n">
        <v>12</v>
      </c>
      <c r="T46" t="inlineStr">
        <is>
          <t>Doubles the loot of level 0 Fishing. This does not stack.</t>
        </is>
      </c>
      <c r="U46" t="inlineStr">
        <is>
          <t>A cut hazel rod, a length of line, and a hook bent from a nail. It has landed more suppers than anything else in the Woodland.</t>
        </is>
      </c>
      <c r="X46" t="inlineStr">
        <is>
          <t>dmg:1-4|Physical|miscellaneous</t>
        </is>
      </c>
      <c r="Y46" t="inlineStr">
        <is>
          <t>https://drive.google.com/uc?export=download&amp;id=1VVWkNSXpkZ2TyT-hiFsE6MAFZs1TJ6e6</t>
        </is>
      </c>
    </row>
    <row r="47">
      <c r="A47" t="inlineStr">
        <is>
          <t>IT46</t>
        </is>
      </c>
      <c r="B47" t="inlineStr">
        <is>
          <t>item_template</t>
        </is>
      </c>
      <c r="C47" t="inlineStr">
        <is>
          <t>tile</t>
        </is>
      </c>
      <c r="D47" t="inlineStr">
        <is>
          <t>fishing</t>
        </is>
      </c>
      <c r="E47" t="inlineStr">
        <is>
          <t>Sturdy Fishing Pole</t>
        </is>
      </c>
      <c r="F47" t="inlineStr">
        <is>
          <t>weapon</t>
        </is>
      </c>
      <c r="G47" t="inlineStr">
        <is>
          <t>miscellaneous</t>
        </is>
      </c>
      <c r="H47" t="inlineStr">
        <is>
          <t>1H</t>
        </is>
      </c>
      <c r="I47" t="inlineStr">
        <is>
          <t>1</t>
        </is>
      </c>
      <c r="J47">
        <f>IF(G47="","",IFERROR(IF(G47="infusing",IFERROR(LOOKUP(2,1/ISNUMBER(SEARCH(_lookup!$D$3:$D$4,H47)),_lookup!$E$3:$E$4),"INT"),VLOOKUP(G47,_lookup!$A$3:$B$14,2,FALSE)),""))</f>
        <v/>
      </c>
      <c r="K47">
        <f>IF(F47&lt;&gt;"weapon","",IF(G47="miscellaneous","1-4",IF(I47="","",IFERROR(VLOOKUP(I47&amp;"|"&amp;IF(LEFT(H47,2)="2H",2,1)&amp;"|"&amp;IF(G47="slashing",1,0),_lookup!$G$3:$H$18,2,FALSE),""))))</f>
        <v/>
      </c>
      <c r="L47">
        <f>IF(K47="","",IF(OR(G47="channeling",G47="infusing"),"Magical",IF(G47="blocking","Anti-Physical",IF(G47="warding","Anti-Magical","Physical"))))</f>
        <v/>
      </c>
      <c r="O47">
        <f>IF(F47&lt;&gt;"armor","","TBD")</f>
        <v/>
      </c>
      <c r="P47">
        <f>IF(O47="","",IF(OR(G47="channeling",G47="infusing"),"Magical",IF(G47="blocking","Anti-Physical",IF(G47="warding","Anti-Magical","Physical"))))</f>
        <v/>
      </c>
      <c r="S47" t="n">
        <v>36</v>
      </c>
      <c r="T47" t="inlineStr">
        <is>
          <t>Doubles the loot of level 0 or 1 Fishing. This does not stack.</t>
        </is>
      </c>
      <c r="U47" t="inlineStr">
        <is>
          <t>Seasoned wood, whipped at the joints, with a hook that will not straighten on the first good fight.</t>
        </is>
      </c>
      <c r="X47" t="inlineStr">
        <is>
          <t>dmg:1-4|Physical|miscellaneous</t>
        </is>
      </c>
      <c r="Y47" t="inlineStr">
        <is>
          <t>https://drive.google.com/uc?export=download&amp;id=1PkfzNgMsZmAZ5SbuMpGuuogBxgcLKqzZ</t>
        </is>
      </c>
    </row>
    <row r="48">
      <c r="A48" t="inlineStr">
        <is>
          <t>IT47</t>
        </is>
      </c>
      <c r="B48" t="inlineStr">
        <is>
          <t>item_template</t>
        </is>
      </c>
      <c r="C48" t="inlineStr">
        <is>
          <t>tile</t>
        </is>
      </c>
      <c r="D48" t="inlineStr">
        <is>
          <t>fishing</t>
        </is>
      </c>
      <c r="E48" t="inlineStr">
        <is>
          <t>Steel Fishing Pole</t>
        </is>
      </c>
      <c r="F48" t="inlineStr">
        <is>
          <t>weapon</t>
        </is>
      </c>
      <c r="G48" t="inlineStr">
        <is>
          <t>miscellaneous</t>
        </is>
      </c>
      <c r="H48" t="inlineStr">
        <is>
          <t>1H</t>
        </is>
      </c>
      <c r="I48" t="inlineStr">
        <is>
          <t>2</t>
        </is>
      </c>
      <c r="J48">
        <f>IF(G48="","",IFERROR(IF(G48="infusing",IFERROR(LOOKUP(2,1/ISNUMBER(SEARCH(_lookup!$D$3:$D$4,H48)),_lookup!$E$3:$E$4),"INT"),VLOOKUP(G48,_lookup!$A$3:$B$14,2,FALSE)),""))</f>
        <v/>
      </c>
      <c r="K48">
        <f>IF(F48&lt;&gt;"weapon","",IF(G48="miscellaneous","1-4",IF(I48="","",IFERROR(VLOOKUP(I48&amp;"|"&amp;IF(LEFT(H48,2)="2H",2,1)&amp;"|"&amp;IF(G48="slashing",1,0),_lookup!$G$3:$H$18,2,FALSE),""))))</f>
        <v/>
      </c>
      <c r="L48">
        <f>IF(K48="","",IF(OR(G48="channeling",G48="infusing"),"Magical",IF(G48="blocking","Anti-Physical",IF(G48="warding","Anti-Magical","Physical"))))</f>
        <v/>
      </c>
      <c r="O48">
        <f>IF(F48&lt;&gt;"armor","","TBD")</f>
        <v/>
      </c>
      <c r="P48">
        <f>IF(O48="","",IF(OR(G48="channeling",G48="infusing"),"Magical",IF(G48="blocking","Anti-Physical",IF(G48="warding","Anti-Magical","Physical"))))</f>
        <v/>
      </c>
      <c r="S48" t="n">
        <v>144</v>
      </c>
      <c r="T48" t="inlineStr">
        <is>
          <t>Doubles the loot of level 0, 1, or 2 Fishing. This does not stack.</t>
        </is>
      </c>
      <c r="U48" t="inlineStr">
        <is>
          <t>Weighted at the butt and strung with wire-core line. Built for the cold pools where the fish grow heavy and the bank gives way.</t>
        </is>
      </c>
      <c r="X48" t="inlineStr">
        <is>
          <t>dmg:1-4|Physical|miscellaneous</t>
        </is>
      </c>
      <c r="Y48" t="inlineStr">
        <is>
          <t>https://drive.google.com/uc?export=download&amp;id=1xunoa0a4-JKm-puxZOzd___TpsyX17Q8</t>
        </is>
      </c>
    </row>
    <row r="49">
      <c r="A49" t="inlineStr">
        <is>
          <t>IT48</t>
        </is>
      </c>
      <c r="B49" t="inlineStr">
        <is>
          <t>item_template</t>
        </is>
      </c>
      <c r="C49" t="inlineStr">
        <is>
          <t>tile</t>
        </is>
      </c>
      <c r="D49" t="inlineStr">
        <is>
          <t>fishing</t>
        </is>
      </c>
      <c r="E49" t="inlineStr">
        <is>
          <t>Bejeweled Fishing Pole</t>
        </is>
      </c>
      <c r="F49" t="inlineStr">
        <is>
          <t>weapon</t>
        </is>
      </c>
      <c r="G49" t="inlineStr">
        <is>
          <t>miscellaneous</t>
        </is>
      </c>
      <c r="H49" t="inlineStr">
        <is>
          <t>1H</t>
        </is>
      </c>
      <c r="I49" t="inlineStr">
        <is>
          <t>2</t>
        </is>
      </c>
      <c r="J49">
        <f>IF(G49="","",IFERROR(IF(G49="infusing",IFERROR(LOOKUP(2,1/ISNUMBER(SEARCH(_lookup!$D$3:$D$4,H49)),_lookup!$E$3:$E$4),"INT"),VLOOKUP(G49,_lookup!$A$3:$B$14,2,FALSE)),""))</f>
        <v/>
      </c>
      <c r="K49">
        <f>IF(F49&lt;&gt;"weapon","",IF(G49="miscellaneous","1-4",IF(I49="","",IFERROR(VLOOKUP(I49&amp;"|"&amp;IF(LEFT(H49,2)="2H",2,1)&amp;"|"&amp;IF(G49="slashing",1,0),_lookup!$G$3:$H$18,2,FALSE),""))))</f>
        <v/>
      </c>
      <c r="L49">
        <f>IF(K49="","",IF(OR(G49="channeling",G49="infusing"),"Magical",IF(G49="blocking","Anti-Physical",IF(G49="warding","Anti-Magical","Physical"))))</f>
        <v/>
      </c>
      <c r="O49">
        <f>IF(F49&lt;&gt;"armor","","TBD")</f>
        <v/>
      </c>
      <c r="P49">
        <f>IF(O49="","",IF(OR(G49="channeling",G49="infusing"),"Magical",IF(G49="blocking","Anti-Physical",IF(G49="warding","Anti-Magical","Physical"))))</f>
        <v/>
      </c>
      <c r="S49" t="n">
        <v>144</v>
      </c>
      <c r="T49" t="inlineStr">
        <is>
          <t>For any level of Fishing, you may loot thrice and pick the basket of your choice.</t>
        </is>
      </c>
      <c r="U49" t="inlineStr">
        <is>
          <t>An ornament pole packed with fishing gadgets. Functional and ostentatious.</t>
        </is>
      </c>
      <c r="X49" t="inlineStr">
        <is>
          <t>dmg:1-4|Physical|miscellaneous</t>
        </is>
      </c>
      <c r="Y49" t="inlineStr">
        <is>
          <t>https://drive.google.com/uc?export=download&amp;id=15pcojFxdYXmZrps5NYXdzGRiIKtrJYds</t>
        </is>
      </c>
    </row>
    <row r="50">
      <c r="A50" t="inlineStr">
        <is>
          <t>IT49</t>
        </is>
      </c>
      <c r="B50" t="inlineStr">
        <is>
          <t>item_template</t>
        </is>
      </c>
      <c r="C50" t="inlineStr">
        <is>
          <t>tile</t>
        </is>
      </c>
      <c r="D50" t="inlineStr">
        <is>
          <t>fishing</t>
        </is>
      </c>
      <c r="E50" t="inlineStr">
        <is>
          <t>River Grass</t>
        </is>
      </c>
      <c r="F50" t="inlineStr">
        <is>
          <t>goods</t>
        </is>
      </c>
      <c r="G50" t="inlineStr">
        <is>
          <t>material</t>
        </is>
      </c>
      <c r="H50" t="inlineStr">
        <is>
          <t>wrap</t>
        </is>
      </c>
      <c r="I50" t="inlineStr">
        <is>
          <t>0</t>
        </is>
      </c>
      <c r="J50">
        <f>IF(G50="","",IFERROR(IF(G50="infusing",IFERROR(LOOKUP(2,1/ISNUMBER(SEARCH(_lookup!$D$3:$D$4,H50)),_lookup!$E$3:$E$4),"INT"),VLOOKUP(G50,_lookup!$A$3:$B$14,2,FALSE)),""))</f>
        <v/>
      </c>
      <c r="K50">
        <f>IF(F50&lt;&gt;"weapon","",IF(G50="miscellaneous","1-4",IF(I50="","",IFERROR(VLOOKUP(I50&amp;"|"&amp;IF(LEFT(H50,2)="2H",2,1)&amp;"|"&amp;IF(G50="slashing",1,0),_lookup!$G$3:$H$18,2,FALSE),""))))</f>
        <v/>
      </c>
      <c r="L50">
        <f>IF(K50="","",IF(OR(G50="channeling",G50="infusing"),"Magical",IF(G50="blocking","Anti-Physical",IF(G50="warding","Anti-Magical","Physical"))))</f>
        <v/>
      </c>
      <c r="O50">
        <f>IF(F50&lt;&gt;"armor","","TBD")</f>
        <v/>
      </c>
      <c r="P50">
        <f>IF(O50="","",IF(OR(G50="channeling",G50="infusing"),"Magical",IF(G50="blocking","Anti-Physical",IF(G50="warding","Anti-Magical","Physical"))))</f>
        <v/>
      </c>
      <c r="S50" t="n">
        <v>3</v>
      </c>
      <c r="T50" t="inlineStr">
        <is>
          <t>Used to craft tier 0 Survival bandages.</t>
        </is>
      </c>
      <c r="U50" t="inlineStr">
        <is>
          <t>Long flat blades from the shallows, stripped and dried. Rough, but it holds a knot and it is everywhere.</t>
        </is>
      </c>
      <c r="X50" t="inlineStr">
        <is>
          <t>wrap0</t>
        </is>
      </c>
      <c r="Y50" t="inlineStr">
        <is>
          <t>https://drive.google.com/uc?export=download&amp;id=17z3SIzlzFVoINHRT-oBUzoVzthZTDUhQ</t>
        </is>
      </c>
    </row>
    <row r="51">
      <c r="A51" t="inlineStr">
        <is>
          <t>IT50</t>
        </is>
      </c>
      <c r="B51" t="inlineStr">
        <is>
          <t>item_template</t>
        </is>
      </c>
      <c r="C51" t="inlineStr">
        <is>
          <t>tile</t>
        </is>
      </c>
      <c r="D51" t="inlineStr">
        <is>
          <t>fishing</t>
        </is>
      </c>
      <c r="E51" t="inlineStr">
        <is>
          <t>Marsh Fiber</t>
        </is>
      </c>
      <c r="F51" t="inlineStr">
        <is>
          <t>goods</t>
        </is>
      </c>
      <c r="G51" t="inlineStr">
        <is>
          <t>material</t>
        </is>
      </c>
      <c r="H51" t="inlineStr">
        <is>
          <t>wrap</t>
        </is>
      </c>
      <c r="I51" t="inlineStr">
        <is>
          <t>1</t>
        </is>
      </c>
      <c r="J51">
        <f>IF(G51="","",IFERROR(IF(G51="infusing",IFERROR(LOOKUP(2,1/ISNUMBER(SEARCH(_lookup!$D$3:$D$4,H51)),_lookup!$E$3:$E$4),"INT"),VLOOKUP(G51,_lookup!$A$3:$B$14,2,FALSE)),""))</f>
        <v/>
      </c>
      <c r="K51">
        <f>IF(F51&lt;&gt;"weapon","",IF(G51="miscellaneous","1-4",IF(I51="","",IFERROR(VLOOKUP(I51&amp;"|"&amp;IF(LEFT(H51,2)="2H",2,1)&amp;"|"&amp;IF(G51="slashing",1,0),_lookup!$G$3:$H$18,2,FALSE),""))))</f>
        <v/>
      </c>
      <c r="L51">
        <f>IF(K51="","",IF(OR(G51="channeling",G51="infusing"),"Magical",IF(G51="blocking","Anti-Physical",IF(G51="warding","Anti-Magical","Physical"))))</f>
        <v/>
      </c>
      <c r="O51">
        <f>IF(F51&lt;&gt;"armor","","TBD")</f>
        <v/>
      </c>
      <c r="P51">
        <f>IF(O51="","",IF(OR(G51="channeling",G51="infusing"),"Magical",IF(G51="blocking","Anti-Physical",IF(G51="warding","Anti-Magical","Physical"))))</f>
        <v/>
      </c>
      <c r="S51" t="n">
        <v>9</v>
      </c>
      <c r="T51" t="inlineStr">
        <is>
          <t>Used to craft tier 1 Survival bandages.</t>
        </is>
      </c>
      <c r="U51" t="inlineStr">
        <is>
          <t>Tough russet strands pulled from the bog weed. It smells of wet earth for a week and binds a wound better than anything that cheap has a right to.</t>
        </is>
      </c>
      <c r="X51" t="inlineStr">
        <is>
          <t>wrap1</t>
        </is>
      </c>
      <c r="Y51" t="inlineStr">
        <is>
          <t>https://drive.google.com/uc?export=download&amp;id=1Izzvf68u3B3jhx1gQuL_71ukH_9FEEem</t>
        </is>
      </c>
    </row>
    <row r="52">
      <c r="A52" t="inlineStr">
        <is>
          <t>IT51</t>
        </is>
      </c>
      <c r="B52" t="inlineStr">
        <is>
          <t>item_template</t>
        </is>
      </c>
      <c r="C52" t="inlineStr">
        <is>
          <t>tile</t>
        </is>
      </c>
      <c r="D52" t="inlineStr">
        <is>
          <t>fishing</t>
        </is>
      </c>
      <c r="E52" t="inlineStr">
        <is>
          <t>Golden Reed</t>
        </is>
      </c>
      <c r="F52" t="inlineStr">
        <is>
          <t>goods</t>
        </is>
      </c>
      <c r="G52" t="inlineStr">
        <is>
          <t>material</t>
        </is>
      </c>
      <c r="H52" t="inlineStr">
        <is>
          <t>wrap</t>
        </is>
      </c>
      <c r="I52" t="inlineStr">
        <is>
          <t>2</t>
        </is>
      </c>
      <c r="J52">
        <f>IF(G52="","",IFERROR(IF(G52="infusing",IFERROR(LOOKUP(2,1/ISNUMBER(SEARCH(_lookup!$D$3:$D$4,H52)),_lookup!$E$3:$E$4),"INT"),VLOOKUP(G52,_lookup!$A$3:$B$14,2,FALSE)),""))</f>
        <v/>
      </c>
      <c r="K52">
        <f>IF(F52&lt;&gt;"weapon","",IF(G52="miscellaneous","1-4",IF(I52="","",IFERROR(VLOOKUP(I52&amp;"|"&amp;IF(LEFT(H52,2)="2H",2,1)&amp;"|"&amp;IF(G52="slashing",1,0),_lookup!$G$3:$H$18,2,FALSE),""))))</f>
        <v/>
      </c>
      <c r="L52">
        <f>IF(K52="","",IF(OR(G52="channeling",G52="infusing"),"Magical",IF(G52="blocking","Anti-Physical",IF(G52="warding","Anti-Magical","Physical"))))</f>
        <v/>
      </c>
      <c r="O52">
        <f>IF(F52&lt;&gt;"armor","","TBD")</f>
        <v/>
      </c>
      <c r="P52">
        <f>IF(O52="","",IF(OR(G52="channeling",G52="infusing"),"Magical",IF(G52="blocking","Anti-Physical",IF(G52="warding","Anti-Magical","Physical"))))</f>
        <v/>
      </c>
      <c r="S52" t="n">
        <v>36</v>
      </c>
      <c r="T52" t="inlineStr">
        <is>
          <t>Used to craft tier 2 Survival bandages.</t>
        </is>
      </c>
      <c r="U52" t="inlineStr">
        <is>
          <t>Pale and fine, cut from the sunlit edge of the water. Soft enough to lay against a wound and strong enough to stay there.</t>
        </is>
      </c>
      <c r="X52" t="inlineStr">
        <is>
          <t>wrap2</t>
        </is>
      </c>
      <c r="Y52" t="inlineStr">
        <is>
          <t>https://drive.google.com/uc?export=download&amp;id=1r3815-DOG7brAKEpa4gQVzyJribqH8FL</t>
        </is>
      </c>
    </row>
    <row r="53">
      <c r="A53" t="inlineStr">
        <is>
          <t>IT52</t>
        </is>
      </c>
      <c r="B53" t="inlineStr">
        <is>
          <t>item_template</t>
        </is>
      </c>
      <c r="C53" t="inlineStr">
        <is>
          <t>tile</t>
        </is>
      </c>
      <c r="D53" t="inlineStr">
        <is>
          <t>fishing</t>
        </is>
      </c>
      <c r="E53" t="inlineStr">
        <is>
          <t>Sea Clovers</t>
        </is>
      </c>
      <c r="F53" t="inlineStr">
        <is>
          <t>goods</t>
        </is>
      </c>
      <c r="G53" t="inlineStr">
        <is>
          <t>material</t>
        </is>
      </c>
      <c r="H53" t="inlineStr">
        <is>
          <t>wrap</t>
        </is>
      </c>
      <c r="I53" t="inlineStr">
        <is>
          <t>3</t>
        </is>
      </c>
      <c r="J53">
        <f>IF(G53="","",IFERROR(IF(G53="infusing",IFERROR(LOOKUP(2,1/ISNUMBER(SEARCH(_lookup!$D$3:$D$4,H53)),_lookup!$E$3:$E$4),"INT"),VLOOKUP(G53,_lookup!$A$3:$B$14,2,FALSE)),""))</f>
        <v/>
      </c>
      <c r="K53">
        <f>IF(F53&lt;&gt;"weapon","",IF(G53="miscellaneous","1-4",IF(I53="","",IFERROR(VLOOKUP(I53&amp;"|"&amp;IF(LEFT(H53,2)="2H",2,1)&amp;"|"&amp;IF(G53="slashing",1,0),_lookup!$G$3:$H$18,2,FALSE),""))))</f>
        <v/>
      </c>
      <c r="L53">
        <f>IF(K53="","",IF(OR(G53="channeling",G53="infusing"),"Magical",IF(G53="blocking","Anti-Physical",IF(G53="warding","Anti-Magical","Physical"))))</f>
        <v/>
      </c>
      <c r="O53">
        <f>IF(F53&lt;&gt;"armor","","TBD")</f>
        <v/>
      </c>
      <c r="P53">
        <f>IF(O53="","",IF(OR(G53="channeling",G53="infusing"),"Magical",IF(G53="blocking","Anti-Physical",IF(G53="warding","Anti-Magical","Physical"))))</f>
        <v/>
      </c>
      <c r="S53" t="n">
        <v>100</v>
      </c>
      <c r="T53" t="inlineStr">
        <is>
          <t>Used to craft tier 3 Survival bandages.</t>
        </is>
      </c>
      <c r="U53" t="inlineStr">
        <is>
          <t>Its broad leaves feel soothing and cool to the touch, as if imbued with some healing property of the water.</t>
        </is>
      </c>
      <c r="X53" t="inlineStr">
        <is>
          <t>wrap3</t>
        </is>
      </c>
      <c r="Y53" t="inlineStr">
        <is>
          <t>https://drive.google.com/uc?export=download&amp;id=1Y4-Johkegl5O7FmPlQCvoQ5MRVdUX22S</t>
        </is>
      </c>
    </row>
    <row r="54">
      <c r="A54" t="inlineStr">
        <is>
          <t>IT53</t>
        </is>
      </c>
      <c r="B54" t="inlineStr">
        <is>
          <t>item_template</t>
        </is>
      </c>
      <c r="C54" t="inlineStr">
        <is>
          <t>tile</t>
        </is>
      </c>
      <c r="D54" t="inlineStr">
        <is>
          <t>herbs</t>
        </is>
      </c>
      <c r="E54" t="inlineStr">
        <is>
          <t>Nettlecloth</t>
        </is>
      </c>
      <c r="F54" t="inlineStr">
        <is>
          <t>goods</t>
        </is>
      </c>
      <c r="G54" t="inlineStr">
        <is>
          <t>material</t>
        </is>
      </c>
      <c r="H54" t="inlineStr">
        <is>
          <t>fiber</t>
        </is>
      </c>
      <c r="I54" t="inlineStr">
        <is>
          <t>0</t>
        </is>
      </c>
      <c r="J54">
        <f>IF(G54="","",IFERROR(IF(G54="infusing",IFERROR(LOOKUP(2,1/ISNUMBER(SEARCH(_lookup!$D$3:$D$4,H54)),_lookup!$E$3:$E$4),"INT"),VLOOKUP(G54,_lookup!$A$3:$B$14,2,FALSE)),""))</f>
        <v/>
      </c>
      <c r="K54">
        <f>IF(F54&lt;&gt;"weapon","",IF(G54="miscellaneous","1-4",IF(I54="","",IFERROR(VLOOKUP(I54&amp;"|"&amp;IF(LEFT(H54,2)="2H",2,1)&amp;"|"&amp;IF(G54="slashing",1,0),_lookup!$G$3:$H$18,2,FALSE),""))))</f>
        <v/>
      </c>
      <c r="L54">
        <f>IF(K54="","",IF(OR(G54="channeling",G54="infusing"),"Magical",IF(G54="blocking","Anti-Physical",IF(G54="warding","Anti-Magical","Physical"))))</f>
        <v/>
      </c>
      <c r="O54">
        <f>IF(F54&lt;&gt;"armor","","TBD")</f>
        <v/>
      </c>
      <c r="P54">
        <f>IF(O54="","",IF(OR(G54="channeling",G54="infusing"),"Magical",IF(G54="blocking","Anti-Physical",IF(G54="warding","Anti-Magical","Physical"))))</f>
        <v/>
      </c>
      <c r="S54" t="n">
        <v>3</v>
      </c>
      <c r="T54" t="inlineStr">
        <is>
          <t>Used to craft tier 0 Attuning infusions and Tailoring armor and scrolls.</t>
        </is>
      </c>
      <c r="U54" t="inlineStr">
        <is>
          <t>Nettle stalks retted and combed into a stiff violet sheet. Magic slides along the grain and off the edge, which is all a first bolt need do.</t>
        </is>
      </c>
      <c r="X54" t="inlineStr">
        <is>
          <t>fiber0</t>
        </is>
      </c>
      <c r="Y54" t="inlineStr">
        <is>
          <t>https://drive.google.com/uc?export=download&amp;id=1DYFjRRyikLiriR04Qg1VFW8pVK6K2yXs</t>
        </is>
      </c>
    </row>
    <row r="55">
      <c r="A55" t="inlineStr">
        <is>
          <t>IT54</t>
        </is>
      </c>
      <c r="B55" t="inlineStr">
        <is>
          <t>item_template</t>
        </is>
      </c>
      <c r="C55" t="inlineStr">
        <is>
          <t>tile</t>
        </is>
      </c>
      <c r="D55" t="inlineStr">
        <is>
          <t>herbs</t>
        </is>
      </c>
      <c r="E55" t="inlineStr">
        <is>
          <t>Imperial Royal</t>
        </is>
      </c>
      <c r="F55" t="inlineStr">
        <is>
          <t>goods</t>
        </is>
      </c>
      <c r="G55" t="inlineStr">
        <is>
          <t>material</t>
        </is>
      </c>
      <c r="H55" t="inlineStr">
        <is>
          <t>fiber</t>
        </is>
      </c>
      <c r="I55" t="inlineStr">
        <is>
          <t>2</t>
        </is>
      </c>
      <c r="J55">
        <f>IF(G55="","",IFERROR(IF(G55="infusing",IFERROR(LOOKUP(2,1/ISNUMBER(SEARCH(_lookup!$D$3:$D$4,H55)),_lookup!$E$3:$E$4),"INT"),VLOOKUP(G55,_lookup!$A$3:$B$14,2,FALSE)),""))</f>
        <v/>
      </c>
      <c r="K55">
        <f>IF(F55&lt;&gt;"weapon","",IF(G55="miscellaneous","1-4",IF(I55="","",IFERROR(VLOOKUP(I55&amp;"|"&amp;IF(LEFT(H55,2)="2H",2,1)&amp;"|"&amp;IF(G55="slashing",1,0),_lookup!$G$3:$H$18,2,FALSE),""))))</f>
        <v/>
      </c>
      <c r="L55">
        <f>IF(K55="","",IF(OR(G55="channeling",G55="infusing"),"Magical",IF(G55="blocking","Anti-Physical",IF(G55="warding","Anti-Magical","Physical"))))</f>
        <v/>
      </c>
      <c r="O55">
        <f>IF(F55&lt;&gt;"armor","","TBD")</f>
        <v/>
      </c>
      <c r="P55">
        <f>IF(O55="","",IF(OR(G55="channeling",G55="infusing"),"Magical",IF(G55="blocking","Anti-Physical",IF(G55="warding","Anti-Magical","Physical"))))</f>
        <v/>
      </c>
      <c r="S55" t="n">
        <v>36</v>
      </c>
      <c r="T55" t="inlineStr">
        <is>
          <t>Used to craft tier 2 Attuning infusions and Tailoring armor and scrolls.</t>
        </is>
      </c>
      <c r="U55" t="inlineStr">
        <is>
          <t>The Marquise's own weave, ochre shot with gold and worked under her patronage alone. No scroll wards better, and no commoner may own a yard.</t>
        </is>
      </c>
      <c r="X55" t="inlineStr">
        <is>
          <t>fiber2</t>
        </is>
      </c>
      <c r="Y55" t="inlineStr">
        <is>
          <t>https://drive.google.com/uc?export=download&amp;id=1dEjyua469EApGmKVS2oGIx5-RGvfuOlR</t>
        </is>
      </c>
    </row>
    <row r="56">
      <c r="A56" t="inlineStr">
        <is>
          <t>IT55</t>
        </is>
      </c>
      <c r="B56" t="inlineStr">
        <is>
          <t>item_template</t>
        </is>
      </c>
      <c r="C56" t="inlineStr">
        <is>
          <t>tile</t>
        </is>
      </c>
      <c r="D56" t="inlineStr">
        <is>
          <t>herbs</t>
        </is>
      </c>
      <c r="E56" t="inlineStr">
        <is>
          <t>Silkfloss</t>
        </is>
      </c>
      <c r="F56" t="inlineStr">
        <is>
          <t>goods</t>
        </is>
      </c>
      <c r="G56" t="inlineStr">
        <is>
          <t>material</t>
        </is>
      </c>
      <c r="H56" t="inlineStr">
        <is>
          <t>fiber</t>
        </is>
      </c>
      <c r="I56" t="inlineStr">
        <is>
          <t>1</t>
        </is>
      </c>
      <c r="J56">
        <f>IF(G56="","",IFERROR(IF(G56="infusing",IFERROR(LOOKUP(2,1/ISNUMBER(SEARCH(_lookup!$D$3:$D$4,H56)),_lookup!$E$3:$E$4),"INT"),VLOOKUP(G56,_lookup!$A$3:$B$14,2,FALSE)),""))</f>
        <v/>
      </c>
      <c r="K56">
        <f>IF(F56&lt;&gt;"weapon","",IF(G56="miscellaneous","1-4",IF(I56="","",IFERROR(VLOOKUP(I56&amp;"|"&amp;IF(LEFT(H56,2)="2H",2,1)&amp;"|"&amp;IF(G56="slashing",1,0),_lookup!$G$3:$H$18,2,FALSE),""))))</f>
        <v/>
      </c>
      <c r="L56">
        <f>IF(K56="","",IF(OR(G56="channeling",G56="infusing"),"Magical",IF(G56="blocking","Anti-Physical",IF(G56="warding","Anti-Magical","Physical"))))</f>
        <v/>
      </c>
      <c r="O56">
        <f>IF(F56&lt;&gt;"armor","","TBD")</f>
        <v/>
      </c>
      <c r="P56">
        <f>IF(O56="","",IF(OR(G56="channeling",G56="infusing"),"Magical",IF(G56="blocking","Anti-Physical",IF(G56="warding","Anti-Magical","Physical"))))</f>
        <v/>
      </c>
      <c r="S56" t="n">
        <v>9</v>
      </c>
      <c r="T56" t="inlineStr">
        <is>
          <t>Used to craft tier 1 Attuning infusions and Tailoring armor and scrolls.</t>
        </is>
      </c>
      <c r="U56" t="inlineStr">
        <is>
          <t>Pale down combed from burst pods, the sheet near weightless. It soaks up essence as readily as water, and lets go just as easily.</t>
        </is>
      </c>
      <c r="X56" t="inlineStr">
        <is>
          <t>fiber1</t>
        </is>
      </c>
      <c r="Y56" t="inlineStr">
        <is>
          <t>https://drive.google.com/uc?export=download&amp;id=1MLqC2u_j9pulVdrVpp4y9pj62gEvL9qQ</t>
        </is>
      </c>
    </row>
    <row r="57">
      <c r="A57" t="inlineStr">
        <is>
          <t>IT56</t>
        </is>
      </c>
      <c r="B57" t="inlineStr">
        <is>
          <t>item_template</t>
        </is>
      </c>
      <c r="C57" t="inlineStr">
        <is>
          <t>tile</t>
        </is>
      </c>
      <c r="D57" t="inlineStr">
        <is>
          <t>herbs</t>
        </is>
      </c>
      <c r="E57" t="inlineStr">
        <is>
          <t>Eboncloth</t>
        </is>
      </c>
      <c r="F57" t="inlineStr">
        <is>
          <t>goods</t>
        </is>
      </c>
      <c r="G57" t="inlineStr">
        <is>
          <t>material</t>
        </is>
      </c>
      <c r="H57" t="inlineStr">
        <is>
          <t>fiber</t>
        </is>
      </c>
      <c r="I57" t="inlineStr">
        <is>
          <t>1</t>
        </is>
      </c>
      <c r="J57">
        <f>IF(G57="","",IFERROR(IF(G57="infusing",IFERROR(LOOKUP(2,1/ISNUMBER(SEARCH(_lookup!$D$3:$D$4,H57)),_lookup!$E$3:$E$4),"INT"),VLOOKUP(G57,_lookup!$A$3:$B$14,2,FALSE)),""))</f>
        <v/>
      </c>
      <c r="K57">
        <f>IF(F57&lt;&gt;"weapon","",IF(G57="miscellaneous","1-4",IF(I57="","",IFERROR(VLOOKUP(I57&amp;"|"&amp;IF(LEFT(H57,2)="2H",2,1)&amp;"|"&amp;IF(G57="slashing",1,0),_lookup!$G$3:$H$18,2,FALSE),""))))</f>
        <v/>
      </c>
      <c r="L57">
        <f>IF(K57="","",IF(OR(G57="channeling",G57="infusing"),"Magical",IF(G57="blocking","Anti-Physical",IF(G57="warding","Anti-Magical","Physical"))))</f>
        <v/>
      </c>
      <c r="O57">
        <f>IF(F57&lt;&gt;"armor","","TBD")</f>
        <v/>
      </c>
      <c r="P57">
        <f>IF(O57="","",IF(OR(G57="channeling",G57="infusing"),"Magical",IF(G57="blocking","Anti-Physical",IF(G57="warding","Anti-Magical","Physical"))))</f>
        <v/>
      </c>
      <c r="S57" t="n">
        <v>9</v>
      </c>
      <c r="T57" t="inlineStr">
        <is>
          <t>Used to craft tier 1 Attuning infusions and Tailoring armor and scrolls.</t>
        </is>
      </c>
      <c r="U57" t="inlineStr">
        <is>
          <t>Eyrie black, spun from bog fibre and sized until it drinks the light. Magic put against it is swallowed rather than turned.</t>
        </is>
      </c>
      <c r="X57" t="inlineStr">
        <is>
          <t>fiber1</t>
        </is>
      </c>
      <c r="Y57" t="inlineStr">
        <is>
          <t>https://drive.google.com/uc?export=download&amp;id=1gSHwuVZjADGW0L6QEwubF3e9WStxw7M3</t>
        </is>
      </c>
    </row>
    <row r="58">
      <c r="A58" t="inlineStr">
        <is>
          <t>IT57</t>
        </is>
      </c>
      <c r="B58" t="inlineStr">
        <is>
          <t>item_template</t>
        </is>
      </c>
      <c r="C58" t="inlineStr">
        <is>
          <t>tile</t>
        </is>
      </c>
      <c r="D58" t="inlineStr">
        <is>
          <t>herbs</t>
        </is>
      </c>
      <c r="E58" t="inlineStr">
        <is>
          <t>Duskflax</t>
        </is>
      </c>
      <c r="F58" t="inlineStr">
        <is>
          <t>goods</t>
        </is>
      </c>
      <c r="G58" t="inlineStr">
        <is>
          <t>material</t>
        </is>
      </c>
      <c r="H58" t="inlineStr">
        <is>
          <t>fiber</t>
        </is>
      </c>
      <c r="I58" t="inlineStr">
        <is>
          <t>2</t>
        </is>
      </c>
      <c r="J58">
        <f>IF(G58="","",IFERROR(IF(G58="infusing",IFERROR(LOOKUP(2,1/ISNUMBER(SEARCH(_lookup!$D$3:$D$4,H58)),_lookup!$E$3:$E$4),"INT"),VLOOKUP(G58,_lookup!$A$3:$B$14,2,FALSE)),""))</f>
        <v/>
      </c>
      <c r="K58">
        <f>IF(F58&lt;&gt;"weapon","",IF(G58="miscellaneous","1-4",IF(I58="","",IFERROR(VLOOKUP(I58&amp;"|"&amp;IF(LEFT(H58,2)="2H",2,1)&amp;"|"&amp;IF(G58="slashing",1,0),_lookup!$G$3:$H$18,2,FALSE),""))))</f>
        <v/>
      </c>
      <c r="L58">
        <f>IF(K58="","",IF(OR(G58="channeling",G58="infusing"),"Magical",IF(G58="blocking","Anti-Physical",IF(G58="warding","Anti-Magical","Physical"))))</f>
        <v/>
      </c>
      <c r="O58">
        <f>IF(F58&lt;&gt;"armor","","TBD")</f>
        <v/>
      </c>
      <c r="P58">
        <f>IF(O58="","",IF(OR(G58="channeling",G58="infusing"),"Magical",IF(G58="blocking","Anti-Physical",IF(G58="warding","Anti-Magical","Physical"))))</f>
        <v/>
      </c>
      <c r="S58" t="n">
        <v>36</v>
      </c>
      <c r="T58" t="inlineStr">
        <is>
          <t>Used to craft tier 2 Attuning infusions and Tailoring armor and scrolls.</t>
        </is>
      </c>
      <c r="U58" t="inlineStr">
        <is>
          <t>Flax cut at last light and woven damp, smelling of petrichor and smoke. It holds a current between its seams without leaking.</t>
        </is>
      </c>
      <c r="X58" t="inlineStr">
        <is>
          <t>fiber2</t>
        </is>
      </c>
      <c r="Y58" t="inlineStr">
        <is>
          <t>https://drive.google.com/uc?export=download&amp;id=1wL5WS0OBq3DjNEmE7oafbhrohbEdWM-1</t>
        </is>
      </c>
    </row>
    <row r="59">
      <c r="A59" t="inlineStr">
        <is>
          <t>IT58</t>
        </is>
      </c>
      <c r="B59" t="inlineStr">
        <is>
          <t>item_template</t>
        </is>
      </c>
      <c r="C59" t="inlineStr">
        <is>
          <t>tile</t>
        </is>
      </c>
      <c r="D59" t="inlineStr">
        <is>
          <t>herbs</t>
        </is>
      </c>
      <c r="E59" t="inlineStr">
        <is>
          <t>Fireweave</t>
        </is>
      </c>
      <c r="F59" t="inlineStr">
        <is>
          <t>goods</t>
        </is>
      </c>
      <c r="G59" t="inlineStr">
        <is>
          <t>material</t>
        </is>
      </c>
      <c r="H59" t="inlineStr">
        <is>
          <t>fiber</t>
        </is>
      </c>
      <c r="I59" t="inlineStr">
        <is>
          <t>0</t>
        </is>
      </c>
      <c r="J59">
        <f>IF(G59="","",IFERROR(IF(G59="infusing",IFERROR(LOOKUP(2,1/ISNUMBER(SEARCH(_lookup!$D$3:$D$4,H59)),_lookup!$E$3:$E$4),"INT"),VLOOKUP(G59,_lookup!$A$3:$B$14,2,FALSE)),""))</f>
        <v/>
      </c>
      <c r="K59">
        <f>IF(F59&lt;&gt;"weapon","",IF(G59="miscellaneous","1-4",IF(I59="","",IFERROR(VLOOKUP(I59&amp;"|"&amp;IF(LEFT(H59,2)="2H",2,1)&amp;"|"&amp;IF(G59="slashing",1,0),_lookup!$G$3:$H$18,2,FALSE),""))))</f>
        <v/>
      </c>
      <c r="L59">
        <f>IF(K59="","",IF(OR(G59="channeling",G59="infusing"),"Magical",IF(G59="blocking","Anti-Physical",IF(G59="warding","Anti-Magical","Physical"))))</f>
        <v/>
      </c>
      <c r="O59">
        <f>IF(F59&lt;&gt;"armor","","TBD")</f>
        <v/>
      </c>
      <c r="P59">
        <f>IF(O59="","",IF(OR(G59="channeling",G59="infusing"),"Magical",IF(G59="blocking","Anti-Physical",IF(G59="warding","Anti-Magical","Physical"))))</f>
        <v/>
      </c>
      <c r="S59" t="n">
        <v>3</v>
      </c>
      <c r="T59" t="inlineStr">
        <is>
          <t>Used to craft tier 0 Attuning infusions and Tailoring armor and scrolls.</t>
        </is>
      </c>
      <c r="U59" t="inlineStr">
        <is>
          <t>Eyrie-issue cloth woven from a marsh reed that will not take flame. The Dynasty bales it for its lowest magisters, so it turns up in every market.</t>
        </is>
      </c>
      <c r="X59" t="inlineStr">
        <is>
          <t>fiber0</t>
        </is>
      </c>
      <c r="Y59" t="inlineStr">
        <is>
          <t>https://drive.google.com/uc?export=download&amp;id=13lw0NtGlcqXYQ8TvTPB4XF1EM2BCwcAJ</t>
        </is>
      </c>
    </row>
    <row r="60">
      <c r="A60" t="inlineStr">
        <is>
          <t>IT59</t>
        </is>
      </c>
      <c r="B60" t="inlineStr">
        <is>
          <t>item_template</t>
        </is>
      </c>
      <c r="C60" t="inlineStr">
        <is>
          <t>tile</t>
        </is>
      </c>
      <c r="D60" t="inlineStr">
        <is>
          <t>herbs</t>
        </is>
      </c>
      <c r="E60" t="inlineStr">
        <is>
          <t>Moonthistle</t>
        </is>
      </c>
      <c r="F60" t="inlineStr">
        <is>
          <t>goods</t>
        </is>
      </c>
      <c r="G60" t="inlineStr">
        <is>
          <t>material</t>
        </is>
      </c>
      <c r="H60" t="inlineStr">
        <is>
          <t>fiber</t>
        </is>
      </c>
      <c r="I60" t="inlineStr">
        <is>
          <t>3</t>
        </is>
      </c>
      <c r="J60">
        <f>IF(G60="","",IFERROR(IF(G60="infusing",IFERROR(LOOKUP(2,1/ISNUMBER(SEARCH(_lookup!$D$3:$D$4,H60)),_lookup!$E$3:$E$4),"INT"),VLOOKUP(G60,_lookup!$A$3:$B$14,2,FALSE)),""))</f>
        <v/>
      </c>
      <c r="K60">
        <f>IF(F60&lt;&gt;"weapon","",IF(G60="miscellaneous","1-4",IF(I60="","",IFERROR(VLOOKUP(I60&amp;"|"&amp;IF(LEFT(H60,2)="2H",2,1)&amp;"|"&amp;IF(G60="slashing",1,0),_lookup!$G$3:$H$18,2,FALSE),""))))</f>
        <v/>
      </c>
      <c r="L60">
        <f>IF(K60="","",IF(OR(G60="channeling",G60="infusing"),"Magical",IF(G60="blocking","Anti-Physical",IF(G60="warding","Anti-Magical","Physical"))))</f>
        <v/>
      </c>
      <c r="O60">
        <f>IF(F60&lt;&gt;"armor","","TBD")</f>
        <v/>
      </c>
      <c r="P60">
        <f>IF(O60="","",IF(OR(G60="channeling",G60="infusing"),"Magical",IF(G60="blocking","Anti-Physical",IF(G60="warding","Anti-Magical","Physical"))))</f>
        <v/>
      </c>
      <c r="S60" t="n">
        <v>100</v>
      </c>
      <c r="T60" t="inlineStr">
        <is>
          <t>Used to craft tier 3 Attuning infusions and Tailoring armor and scrolls.</t>
        </is>
      </c>
      <c r="U60" t="inlineStr">
        <is>
          <t>Thistleheads that open one night in a moon, spun before dawn. The sheet takes a charge far past its weight, and spell-users ruin themselves for a spool.</t>
        </is>
      </c>
      <c r="X60" t="inlineStr">
        <is>
          <t>fiber3</t>
        </is>
      </c>
      <c r="Y60" t="inlineStr">
        <is>
          <t>https://drive.google.com/uc?export=download&amp;id=17ifAfBWUB0gwUJws61cQoUvCgCvutZgt</t>
        </is>
      </c>
    </row>
    <row r="61">
      <c r="A61" t="inlineStr">
        <is>
          <t>IT60</t>
        </is>
      </c>
      <c r="B61" t="inlineStr">
        <is>
          <t>item_template</t>
        </is>
      </c>
      <c r="C61" t="inlineStr">
        <is>
          <t>tile</t>
        </is>
      </c>
      <c r="D61" t="inlineStr">
        <is>
          <t>herbs</t>
        </is>
      </c>
      <c r="E61" t="inlineStr">
        <is>
          <t>Herbalist's Gloves</t>
        </is>
      </c>
      <c r="F61" t="inlineStr">
        <is>
          <t>armor</t>
        </is>
      </c>
      <c r="G61" t="inlineStr">
        <is>
          <t>miscellaneous</t>
        </is>
      </c>
      <c r="H61" t="inlineStr">
        <is>
          <t>hands</t>
        </is>
      </c>
      <c r="I61" t="inlineStr">
        <is>
          <t>0</t>
        </is>
      </c>
      <c r="J61">
        <f>IF(G61="","",IFERROR(IF(G61="infusing",IFERROR(LOOKUP(2,1/ISNUMBER(SEARCH(_lookup!$D$3:$D$4,H61)),_lookup!$E$3:$E$4),"INT"),VLOOKUP(G61,_lookup!$A$3:$B$14,2,FALSE)),""))</f>
        <v/>
      </c>
      <c r="K61">
        <f>IF(F61&lt;&gt;"weapon","",IF(G61="miscellaneous","1-4",IF(I61="","",IFERROR(VLOOKUP(I61&amp;"|"&amp;IF(LEFT(H61,2)="2H",2,1)&amp;"|"&amp;IF(G61="slashing",1,0),_lookup!$G$3:$H$18,2,FALSE),""))))</f>
        <v/>
      </c>
      <c r="L61">
        <f>IF(K61="","",IF(OR(G61="channeling",G61="infusing"),"Magical",IF(G61="blocking","Anti-Physical",IF(G61="warding","Anti-Magical","Physical"))))</f>
        <v/>
      </c>
      <c r="O61">
        <f>IF(F61&lt;&gt;"armor","","TBD")</f>
        <v/>
      </c>
      <c r="P61">
        <f>IF(O61="","",IF(OR(G61="channeling",G61="infusing"),"Magical",IF(G61="blocking","Anti-Physical",IF(G61="warding","Anti-Magical","Physical"))))</f>
        <v/>
      </c>
      <c r="S61" t="n">
        <v>12</v>
      </c>
      <c r="T61" t="inlineStr">
        <is>
          <t>Doubles the loot of level 0 Herbalism. This does not stack.</t>
        </is>
      </c>
      <c r="U61" t="inlineStr">
        <is>
          <t>Plain white workshop gloves with a worn leather cuff. No help against a blade, but a full basket is a full basket.</t>
        </is>
      </c>
      <c r="Y61" t="inlineStr">
        <is>
          <t>https://drive.google.com/uc?export=download&amp;id=1fEh-67Z7hEDBFazvwIFgy5M_G7QmMt4z</t>
        </is>
      </c>
    </row>
    <row r="62">
      <c r="A62" t="inlineStr">
        <is>
          <t>IT61</t>
        </is>
      </c>
      <c r="B62" t="inlineStr">
        <is>
          <t>item_template</t>
        </is>
      </c>
      <c r="C62" t="inlineStr">
        <is>
          <t>tile</t>
        </is>
      </c>
      <c r="D62" t="inlineStr">
        <is>
          <t>herbs</t>
        </is>
      </c>
      <c r="E62" t="inlineStr">
        <is>
          <t>Nimble Herbalist's Gloves</t>
        </is>
      </c>
      <c r="F62" t="inlineStr">
        <is>
          <t>armor</t>
        </is>
      </c>
      <c r="G62" t="inlineStr">
        <is>
          <t>miscellaneous</t>
        </is>
      </c>
      <c r="H62" t="inlineStr">
        <is>
          <t>hands</t>
        </is>
      </c>
      <c r="I62" t="inlineStr">
        <is>
          <t>1</t>
        </is>
      </c>
      <c r="J62">
        <f>IF(G62="","",IFERROR(IF(G62="infusing",IFERROR(LOOKUP(2,1/ISNUMBER(SEARCH(_lookup!$D$3:$D$4,H62)),_lookup!$E$3:$E$4),"INT"),VLOOKUP(G62,_lookup!$A$3:$B$14,2,FALSE)),""))</f>
        <v/>
      </c>
      <c r="K62">
        <f>IF(F62&lt;&gt;"weapon","",IF(G62="miscellaneous","1-4",IF(I62="","",IFERROR(VLOOKUP(I62&amp;"|"&amp;IF(LEFT(H62,2)="2H",2,1)&amp;"|"&amp;IF(G62="slashing",1,0),_lookup!$G$3:$H$18,2,FALSE),""))))</f>
        <v/>
      </c>
      <c r="L62">
        <f>IF(K62="","",IF(OR(G62="channeling",G62="infusing"),"Magical",IF(G62="blocking","Anti-Physical",IF(G62="warding","Anti-Magical","Physical"))))</f>
        <v/>
      </c>
      <c r="O62">
        <f>IF(F62&lt;&gt;"armor","","TBD")</f>
        <v/>
      </c>
      <c r="P62">
        <f>IF(O62="","",IF(OR(G62="channeling",G62="infusing"),"Magical",IF(G62="blocking","Anti-Physical",IF(G62="warding","Anti-Magical","Physical"))))</f>
        <v/>
      </c>
      <c r="S62" t="n">
        <v>36</v>
      </c>
      <c r="T62" t="inlineStr">
        <is>
          <t>Doubles the loot of level 0 or 1 Herbalism. This does not stack.</t>
        </is>
      </c>
      <c r="U62" t="inlineStr">
        <is>
          <t>Close-fitting, brass-studded at the knuckle, seams turned inside so nothing catches on a stem. A careful paw cuts twice as fast.</t>
        </is>
      </c>
      <c r="Y62" t="inlineStr">
        <is>
          <t>https://drive.google.com/uc?export=download&amp;id=1AS3y_GU2wCW-fiMTJjncoFHbPajwd_xb</t>
        </is>
      </c>
    </row>
    <row r="63">
      <c r="A63" t="inlineStr">
        <is>
          <t>IT62</t>
        </is>
      </c>
      <c r="B63" t="inlineStr">
        <is>
          <t>item_template</t>
        </is>
      </c>
      <c r="C63" t="inlineStr">
        <is>
          <t>tile</t>
        </is>
      </c>
      <c r="D63" t="inlineStr">
        <is>
          <t>herbs</t>
        </is>
      </c>
      <c r="E63" t="inlineStr">
        <is>
          <t>Attuned Herbalist's Gloves</t>
        </is>
      </c>
      <c r="F63" t="inlineStr">
        <is>
          <t>armor</t>
        </is>
      </c>
      <c r="G63" t="inlineStr">
        <is>
          <t>miscellaneous</t>
        </is>
      </c>
      <c r="H63" t="inlineStr">
        <is>
          <t>hands</t>
        </is>
      </c>
      <c r="I63" t="inlineStr">
        <is>
          <t>2</t>
        </is>
      </c>
      <c r="J63">
        <f>IF(G63="","",IFERROR(IF(G63="infusing",IFERROR(LOOKUP(2,1/ISNUMBER(SEARCH(_lookup!$D$3:$D$4,H63)),_lookup!$E$3:$E$4),"INT"),VLOOKUP(G63,_lookup!$A$3:$B$14,2,FALSE)),""))</f>
        <v/>
      </c>
      <c r="K63">
        <f>IF(F63&lt;&gt;"weapon","",IF(G63="miscellaneous","1-4",IF(I63="","",IFERROR(VLOOKUP(I63&amp;"|"&amp;IF(LEFT(H63,2)="2H",2,1)&amp;"|"&amp;IF(G63="slashing",1,0),_lookup!$G$3:$H$18,2,FALSE),""))))</f>
        <v/>
      </c>
      <c r="L63">
        <f>IF(K63="","",IF(OR(G63="channeling",G63="infusing"),"Magical",IF(G63="blocking","Anti-Physical",IF(G63="warding","Anti-Magical","Physical"))))</f>
        <v/>
      </c>
      <c r="O63">
        <f>IF(F63&lt;&gt;"armor","","TBD")</f>
        <v/>
      </c>
      <c r="P63">
        <f>IF(O63="","",IF(OR(G63="channeling",G63="infusing"),"Magical",IF(G63="blocking","Anti-Physical",IF(G63="warding","Anti-Magical","Physical"))))</f>
        <v/>
      </c>
      <c r="S63" t="n">
        <v>144</v>
      </c>
      <c r="T63" t="inlineStr">
        <is>
          <t>Doubles the loot of level 0, 1, or 2 Herbalism. This does not stack.</t>
        </is>
      </c>
      <c r="U63" t="inlineStr">
        <is>
          <t>Crescent-marked and banded at the wrist, stitched in charged thread. The glove hums near a worthwhile growth before the wearer sees it.</t>
        </is>
      </c>
      <c r="Y63" t="inlineStr">
        <is>
          <t>https://drive.google.com/uc?export=download&amp;id=1U1RjS4Zzeyh38m7Btb33A2K-SfZNlxFZ</t>
        </is>
      </c>
    </row>
    <row r="64">
      <c r="A64" t="inlineStr">
        <is>
          <t>IT63</t>
        </is>
      </c>
      <c r="B64" t="inlineStr">
        <is>
          <t>item_template</t>
        </is>
      </c>
      <c r="C64" t="inlineStr">
        <is>
          <t>tile</t>
        </is>
      </c>
      <c r="D64" t="inlineStr">
        <is>
          <t>herbs</t>
        </is>
      </c>
      <c r="E64" t="inlineStr">
        <is>
          <t>Dawnpenny</t>
        </is>
      </c>
      <c r="F64" t="inlineStr">
        <is>
          <t>goods</t>
        </is>
      </c>
      <c r="G64" t="inlineStr">
        <is>
          <t>material</t>
        </is>
      </c>
      <c r="H64" t="inlineStr">
        <is>
          <t>herb</t>
        </is>
      </c>
      <c r="I64" t="inlineStr">
        <is>
          <t>0</t>
        </is>
      </c>
      <c r="J64">
        <f>IF(G64="","",IFERROR(IF(G64="infusing",IFERROR(LOOKUP(2,1/ISNUMBER(SEARCH(_lookup!$D$3:$D$4,H64)),_lookup!$E$3:$E$4),"INT"),VLOOKUP(G64,_lookup!$A$3:$B$14,2,FALSE)),""))</f>
        <v/>
      </c>
      <c r="K64">
        <f>IF(F64&lt;&gt;"weapon","",IF(G64="miscellaneous","1-4",IF(I64="","",IFERROR(VLOOKUP(I64&amp;"|"&amp;IF(LEFT(H64,2)="2H",2,1)&amp;"|"&amp;IF(G64="slashing",1,0),_lookup!$G$3:$H$18,2,FALSE),""))))</f>
        <v/>
      </c>
      <c r="L64">
        <f>IF(K64="","",IF(OR(G64="channeling",G64="infusing"),"Magical",IF(G64="blocking","Anti-Physical",IF(G64="warding","Anti-Magical","Physical"))))</f>
        <v/>
      </c>
      <c r="O64">
        <f>IF(F64&lt;&gt;"armor","","TBD")</f>
        <v/>
      </c>
      <c r="P64">
        <f>IF(O64="","",IF(OR(G64="channeling",G64="infusing"),"Magical",IF(G64="blocking","Anti-Physical",IF(G64="warding","Anti-Magical","Physical"))))</f>
        <v/>
      </c>
      <c r="S64" t="n">
        <v>3</v>
      </c>
      <c r="T64" t="inlineStr">
        <is>
          <t>Used to craft tier 0 Survival potions.</t>
        </is>
      </c>
      <c r="U64" t="inlineStr">
        <is>
          <t>A broad yellow flower that opens flat to first light and shuts by noon. It lines every cart track in the Woodland, which is why it is cheap.</t>
        </is>
      </c>
      <c r="X64" t="inlineStr">
        <is>
          <t>herb0</t>
        </is>
      </c>
      <c r="Y64" t="inlineStr">
        <is>
          <t>https://drive.google.com/uc?export=download&amp;id=10RUus0JBYQRLBGFXEI4RD0qHsnAhsD-D</t>
        </is>
      </c>
    </row>
    <row r="65">
      <c r="A65" t="inlineStr">
        <is>
          <t>IT64</t>
        </is>
      </c>
      <c r="B65" t="inlineStr">
        <is>
          <t>item_template</t>
        </is>
      </c>
      <c r="C65" t="inlineStr">
        <is>
          <t>tile</t>
        </is>
      </c>
      <c r="D65" t="inlineStr">
        <is>
          <t>herbs</t>
        </is>
      </c>
      <c r="E65" t="inlineStr">
        <is>
          <t>Nightgrass</t>
        </is>
      </c>
      <c r="F65" t="inlineStr">
        <is>
          <t>goods</t>
        </is>
      </c>
      <c r="G65" t="inlineStr">
        <is>
          <t>material</t>
        </is>
      </c>
      <c r="H65" t="inlineStr">
        <is>
          <t>herb</t>
        </is>
      </c>
      <c r="I65" t="inlineStr">
        <is>
          <t>0</t>
        </is>
      </c>
      <c r="J65">
        <f>IF(G65="","",IFERROR(IF(G65="infusing",IFERROR(LOOKUP(2,1/ISNUMBER(SEARCH(_lookup!$D$3:$D$4,H65)),_lookup!$E$3:$E$4),"INT"),VLOOKUP(G65,_lookup!$A$3:$B$14,2,FALSE)),""))</f>
        <v/>
      </c>
      <c r="K65">
        <f>IF(F65&lt;&gt;"weapon","",IF(G65="miscellaneous","1-4",IF(I65="","",IFERROR(VLOOKUP(I65&amp;"|"&amp;IF(LEFT(H65,2)="2H",2,1)&amp;"|"&amp;IF(G65="slashing",1,0),_lookup!$G$3:$H$18,2,FALSE),""))))</f>
        <v/>
      </c>
      <c r="L65">
        <f>IF(K65="","",IF(OR(G65="channeling",G65="infusing"),"Magical",IF(G65="blocking","Anti-Physical",IF(G65="warding","Anti-Magical","Physical"))))</f>
        <v/>
      </c>
      <c r="O65">
        <f>IF(F65&lt;&gt;"armor","","TBD")</f>
        <v/>
      </c>
      <c r="P65">
        <f>IF(O65="","",IF(OR(G65="channeling",G65="infusing"),"Magical",IF(G65="blocking","Anti-Physical",IF(G65="warding","Anti-Magical","Physical"))))</f>
        <v/>
      </c>
      <c r="S65" t="n">
        <v>3</v>
      </c>
      <c r="T65" t="inlineStr">
        <is>
          <t>Used to craft tier 0 Survival potions.</t>
        </is>
      </c>
      <c r="U65" t="inlineStr">
        <is>
          <t>Long green blades that hold a glow of their own after dark. Bitter enough raw that nobody eats it twice, useful enough that everybody carries some.</t>
        </is>
      </c>
      <c r="X65" t="inlineStr">
        <is>
          <t>herb0</t>
        </is>
      </c>
      <c r="Y65" t="inlineStr">
        <is>
          <t>https://drive.google.com/uc?export=download&amp;id=19opZAfd9obv70LZTXxkvp_hnP608u-yU</t>
        </is>
      </c>
    </row>
    <row r="66">
      <c r="A66" t="inlineStr">
        <is>
          <t>IT65</t>
        </is>
      </c>
      <c r="B66" t="inlineStr">
        <is>
          <t>item_template</t>
        </is>
      </c>
      <c r="C66" t="inlineStr">
        <is>
          <t>tile</t>
        </is>
      </c>
      <c r="D66" t="inlineStr">
        <is>
          <t>herbs</t>
        </is>
      </c>
      <c r="E66" t="inlineStr">
        <is>
          <t>Dreamfoil</t>
        </is>
      </c>
      <c r="F66" t="inlineStr">
        <is>
          <t>goods</t>
        </is>
      </c>
      <c r="G66" t="inlineStr">
        <is>
          <t>material</t>
        </is>
      </c>
      <c r="H66" t="inlineStr">
        <is>
          <t>herb</t>
        </is>
      </c>
      <c r="I66" t="inlineStr">
        <is>
          <t>1</t>
        </is>
      </c>
      <c r="J66">
        <f>IF(G66="","",IFERROR(IF(G66="infusing",IFERROR(LOOKUP(2,1/ISNUMBER(SEARCH(_lookup!$D$3:$D$4,H66)),_lookup!$E$3:$E$4),"INT"),VLOOKUP(G66,_lookup!$A$3:$B$14,2,FALSE)),""))</f>
        <v/>
      </c>
      <c r="K66">
        <f>IF(F66&lt;&gt;"weapon","",IF(G66="miscellaneous","1-4",IF(I66="","",IFERROR(VLOOKUP(I66&amp;"|"&amp;IF(LEFT(H66,2)="2H",2,1)&amp;"|"&amp;IF(G66="slashing",1,0),_lookup!$G$3:$H$18,2,FALSE),""))))</f>
        <v/>
      </c>
      <c r="L66">
        <f>IF(K66="","",IF(OR(G66="channeling",G66="infusing"),"Magical",IF(G66="blocking","Anti-Physical",IF(G66="warding","Anti-Magical","Physical"))))</f>
        <v/>
      </c>
      <c r="O66">
        <f>IF(F66&lt;&gt;"armor","","TBD")</f>
        <v/>
      </c>
      <c r="P66">
        <f>IF(O66="","",IF(OR(G66="channeling",G66="infusing"),"Magical",IF(G66="blocking","Anti-Physical",IF(G66="warding","Anti-Magical","Physical"))))</f>
        <v/>
      </c>
      <c r="S66" t="n">
        <v>9</v>
      </c>
      <c r="T66" t="inlineStr">
        <is>
          <t>Used to craft tier 1 Survival potions.</t>
        </is>
      </c>
      <c r="U66" t="inlineStr">
        <is>
          <t>Pale blue spines, cold to the paw, found in hollows where the mist settles. Chewed in the field it dulls pain and judgement alike.</t>
        </is>
      </c>
      <c r="X66" t="inlineStr">
        <is>
          <t>herb1</t>
        </is>
      </c>
      <c r="Y66" t="inlineStr">
        <is>
          <t>https://drive.google.com/uc?export=download&amp;id=1FLpnNkjCyV_wIP6KtpQeBF5DlrdklCTj</t>
        </is>
      </c>
    </row>
    <row r="67">
      <c r="A67" t="inlineStr">
        <is>
          <t>IT66</t>
        </is>
      </c>
      <c r="B67" t="inlineStr">
        <is>
          <t>item_template</t>
        </is>
      </c>
      <c r="C67" t="inlineStr">
        <is>
          <t>tile</t>
        </is>
      </c>
      <c r="D67" t="inlineStr">
        <is>
          <t>herbs</t>
        </is>
      </c>
      <c r="E67" t="inlineStr">
        <is>
          <t>Emberlily</t>
        </is>
      </c>
      <c r="F67" t="inlineStr">
        <is>
          <t>goods</t>
        </is>
      </c>
      <c r="G67" t="inlineStr">
        <is>
          <t>material</t>
        </is>
      </c>
      <c r="H67" t="inlineStr">
        <is>
          <t>herb</t>
        </is>
      </c>
      <c r="I67" t="inlineStr">
        <is>
          <t>1</t>
        </is>
      </c>
      <c r="J67">
        <f>IF(G67="","",IFERROR(IF(G67="infusing",IFERROR(LOOKUP(2,1/ISNUMBER(SEARCH(_lookup!$D$3:$D$4,H67)),_lookup!$E$3:$E$4),"INT"),VLOOKUP(G67,_lookup!$A$3:$B$14,2,FALSE)),""))</f>
        <v/>
      </c>
      <c r="K67">
        <f>IF(F67&lt;&gt;"weapon","",IF(G67="miscellaneous","1-4",IF(I67="","",IFERROR(VLOOKUP(I67&amp;"|"&amp;IF(LEFT(H67,2)="2H",2,1)&amp;"|"&amp;IF(G67="slashing",1,0),_lookup!$G$3:$H$18,2,FALSE),""))))</f>
        <v/>
      </c>
      <c r="L67">
        <f>IF(K67="","",IF(OR(G67="channeling",G67="infusing"),"Magical",IF(G67="blocking","Anti-Physical",IF(G67="warding","Anti-Magical","Physical"))))</f>
        <v/>
      </c>
      <c r="O67">
        <f>IF(F67&lt;&gt;"armor","","TBD")</f>
        <v/>
      </c>
      <c r="P67">
        <f>IF(O67="","",IF(OR(G67="channeling",G67="infusing"),"Magical",IF(G67="blocking","Anti-Physical",IF(G67="warding","Anti-Magical","Physical"))))</f>
        <v/>
      </c>
      <c r="S67" t="n">
        <v>9</v>
      </c>
      <c r="T67" t="inlineStr">
        <is>
          <t>Used to craft tier 1 Survival potions.</t>
        </is>
      </c>
      <c r="U67" t="inlineStr">
        <is>
          <t>A red lily streaked with orange, the petals warm hours after cutting. It grows from burnt ground and nowhere else, so it travels wrapped.</t>
        </is>
      </c>
      <c r="X67" t="inlineStr">
        <is>
          <t>herb1</t>
        </is>
      </c>
      <c r="Y67" t="inlineStr">
        <is>
          <t>https://drive.google.com/uc?export=download&amp;id=1yuW4odyCyBscwEEYD_gi8sz7C724vRJR</t>
        </is>
      </c>
    </row>
    <row r="68">
      <c r="A68" t="inlineStr">
        <is>
          <t>IT67</t>
        </is>
      </c>
      <c r="B68" t="inlineStr">
        <is>
          <t>item_template</t>
        </is>
      </c>
      <c r="C68" t="inlineStr">
        <is>
          <t>tile</t>
        </is>
      </c>
      <c r="D68" t="inlineStr">
        <is>
          <t>herbs</t>
        </is>
      </c>
      <c r="E68" t="inlineStr">
        <is>
          <t>Sorrowbloom</t>
        </is>
      </c>
      <c r="F68" t="inlineStr">
        <is>
          <t>goods</t>
        </is>
      </c>
      <c r="G68" t="inlineStr">
        <is>
          <t>material</t>
        </is>
      </c>
      <c r="H68" t="inlineStr">
        <is>
          <t>herb</t>
        </is>
      </c>
      <c r="I68" t="inlineStr">
        <is>
          <t>2</t>
        </is>
      </c>
      <c r="J68">
        <f>IF(G68="","",IFERROR(IF(G68="infusing",IFERROR(LOOKUP(2,1/ISNUMBER(SEARCH(_lookup!$D$3:$D$4,H68)),_lookup!$E$3:$E$4),"INT"),VLOOKUP(G68,_lookup!$A$3:$B$14,2,FALSE)),""))</f>
        <v/>
      </c>
      <c r="K68">
        <f>IF(F68&lt;&gt;"weapon","",IF(G68="miscellaneous","1-4",IF(I68="","",IFERROR(VLOOKUP(I68&amp;"|"&amp;IF(LEFT(H68,2)="2H",2,1)&amp;"|"&amp;IF(G68="slashing",1,0),_lookup!$G$3:$H$18,2,FALSE),""))))</f>
        <v/>
      </c>
      <c r="L68">
        <f>IF(K68="","",IF(OR(G68="channeling",G68="infusing"),"Magical",IF(G68="blocking","Anti-Physical",IF(G68="warding","Anti-Magical","Physical"))))</f>
        <v/>
      </c>
      <c r="O68">
        <f>IF(F68&lt;&gt;"armor","","TBD")</f>
        <v/>
      </c>
      <c r="P68">
        <f>IF(O68="","",IF(OR(G68="channeling",G68="infusing"),"Magical",IF(G68="blocking","Anti-Physical",IF(G68="warding","Anti-Magical","Physical"))))</f>
        <v/>
      </c>
      <c r="S68" t="n">
        <v>36</v>
      </c>
      <c r="T68" t="inlineStr">
        <is>
          <t>Used to craft tier 2 Survival potions.</t>
        </is>
      </c>
      <c r="U68" t="inlineStr">
        <is>
          <t>Deep purple star-flowers on a dark stem, thickest over old battlefields. Foragers who know what that means cut it anyway.</t>
        </is>
      </c>
      <c r="X68" t="inlineStr">
        <is>
          <t>herb2</t>
        </is>
      </c>
      <c r="Y68" t="inlineStr">
        <is>
          <t>https://drive.google.com/uc?export=download&amp;id=1ZuA4U7BKN5JuCMZmNSRoVUcKXaUqv-3j</t>
        </is>
      </c>
    </row>
    <row r="69">
      <c r="A69" t="inlineStr">
        <is>
          <t>IT68</t>
        </is>
      </c>
      <c r="B69" t="inlineStr">
        <is>
          <t>item_template</t>
        </is>
      </c>
      <c r="C69" t="inlineStr">
        <is>
          <t>tile</t>
        </is>
      </c>
      <c r="D69" t="inlineStr">
        <is>
          <t>herbs</t>
        </is>
      </c>
      <c r="E69" t="inlineStr">
        <is>
          <t>Silversage</t>
        </is>
      </c>
      <c r="F69" t="inlineStr">
        <is>
          <t>goods</t>
        </is>
      </c>
      <c r="G69" t="inlineStr">
        <is>
          <t>material</t>
        </is>
      </c>
      <c r="H69" t="inlineStr">
        <is>
          <t>herb</t>
        </is>
      </c>
      <c r="I69" t="inlineStr">
        <is>
          <t>2</t>
        </is>
      </c>
      <c r="J69">
        <f>IF(G69="","",IFERROR(IF(G69="infusing",IFERROR(LOOKUP(2,1/ISNUMBER(SEARCH(_lookup!$D$3:$D$4,H69)),_lookup!$E$3:$E$4),"INT"),VLOOKUP(G69,_lookup!$A$3:$B$14,2,FALSE)),""))</f>
        <v/>
      </c>
      <c r="K69">
        <f>IF(F69&lt;&gt;"weapon","",IF(G69="miscellaneous","1-4",IF(I69="","",IFERROR(VLOOKUP(I69&amp;"|"&amp;IF(LEFT(H69,2)="2H",2,1)&amp;"|"&amp;IF(G69="slashing",1,0),_lookup!$G$3:$H$18,2,FALSE),""))))</f>
        <v/>
      </c>
      <c r="L69">
        <f>IF(K69="","",IF(OR(G69="channeling",G69="infusing"),"Magical",IF(G69="blocking","Anti-Physical",IF(G69="warding","Anti-Magical","Physical"))))</f>
        <v/>
      </c>
      <c r="O69">
        <f>IF(F69&lt;&gt;"armor","","TBD")</f>
        <v/>
      </c>
      <c r="P69">
        <f>IF(O69="","",IF(OR(G69="channeling",G69="infusing"),"Magical",IF(G69="blocking","Anti-Physical",IF(G69="warding","Anti-Magical","Physical"))))</f>
        <v/>
      </c>
      <c r="S69" t="n">
        <v>36</v>
      </c>
      <c r="T69" t="inlineStr">
        <is>
          <t>Used to craft tier 2 Survival potions.</t>
        </is>
      </c>
      <c r="U69" t="inlineStr">
        <is>
          <t>A mint rosette of thick leaves with a clean, cold smell that clears a crowded head. Apothecaries prize it for potions meant to keep.</t>
        </is>
      </c>
      <c r="X69" t="inlineStr">
        <is>
          <t>herb2</t>
        </is>
      </c>
      <c r="Y69" t="inlineStr">
        <is>
          <t>https://drive.google.com/uc?export=download&amp;id=1at_fLzjMJBNl1k-X2gs5fwhJh28QA8Ls</t>
        </is>
      </c>
    </row>
    <row r="70">
      <c r="A70" t="inlineStr">
        <is>
          <t>IT69</t>
        </is>
      </c>
      <c r="B70" t="inlineStr">
        <is>
          <t>item_template</t>
        </is>
      </c>
      <c r="C70" t="inlineStr">
        <is>
          <t>tile</t>
        </is>
      </c>
      <c r="D70" t="inlineStr">
        <is>
          <t>herbs</t>
        </is>
      </c>
      <c r="E70" t="inlineStr">
        <is>
          <t>Dragon's Teeth</t>
        </is>
      </c>
      <c r="F70" t="inlineStr">
        <is>
          <t>goods</t>
        </is>
      </c>
      <c r="G70" t="inlineStr">
        <is>
          <t>material</t>
        </is>
      </c>
      <c r="H70" t="inlineStr">
        <is>
          <t>herb</t>
        </is>
      </c>
      <c r="I70" t="inlineStr">
        <is>
          <t>3</t>
        </is>
      </c>
      <c r="J70">
        <f>IF(G70="","",IFERROR(IF(G70="infusing",IFERROR(LOOKUP(2,1/ISNUMBER(SEARCH(_lookup!$D$3:$D$4,H70)),_lookup!$E$3:$E$4),"INT"),VLOOKUP(G70,_lookup!$A$3:$B$14,2,FALSE)),""))</f>
        <v/>
      </c>
      <c r="K70">
        <f>IF(F70&lt;&gt;"weapon","",IF(G70="miscellaneous","1-4",IF(I70="","",IFERROR(VLOOKUP(I70&amp;"|"&amp;IF(LEFT(H70,2)="2H",2,1)&amp;"|"&amp;IF(G70="slashing",1,0),_lookup!$G$3:$H$18,2,FALSE),""))))</f>
        <v/>
      </c>
      <c r="L70">
        <f>IF(K70="","",IF(OR(G70="channeling",G70="infusing"),"Magical",IF(G70="blocking","Anti-Physical",IF(G70="warding","Anti-Magical","Physical"))))</f>
        <v/>
      </c>
      <c r="O70">
        <f>IF(F70&lt;&gt;"armor","","TBD")</f>
        <v/>
      </c>
      <c r="P70">
        <f>IF(O70="","",IF(OR(G70="channeling",G70="infusing"),"Magical",IF(G70="blocking","Anti-Physical",IF(G70="warding","Anti-Magical","Physical"))))</f>
        <v/>
      </c>
      <c r="S70" t="n">
        <v>100</v>
      </c>
      <c r="T70" t="inlineStr">
        <is>
          <t>Used to craft tier 3 Survival potions.</t>
        </is>
      </c>
      <c r="U70" t="inlineStr">
        <is>
          <t>Curved white fangs veined with red, coming up in rows along the ridge stone. Draw them whole or the virtue bleeds out.</t>
        </is>
      </c>
      <c r="X70" t="inlineStr">
        <is>
          <t>herb3</t>
        </is>
      </c>
      <c r="Y70" t="inlineStr">
        <is>
          <t>https://drive.google.com/uc?export=download&amp;id=1JckuJ0PungUIi60to6Z2iybNvVJ68iQp</t>
        </is>
      </c>
    </row>
    <row r="71">
      <c r="A71" t="inlineStr">
        <is>
          <t>IT70</t>
        </is>
      </c>
      <c r="B71" t="inlineStr">
        <is>
          <t>item_template</t>
        </is>
      </c>
      <c r="C71" t="inlineStr">
        <is>
          <t>tile</t>
        </is>
      </c>
      <c r="D71" t="inlineStr">
        <is>
          <t>herbs</t>
        </is>
      </c>
      <c r="E71" t="inlineStr">
        <is>
          <t>Liferoot</t>
        </is>
      </c>
      <c r="F71" t="inlineStr">
        <is>
          <t>goods</t>
        </is>
      </c>
      <c r="G71" t="inlineStr">
        <is>
          <t>material</t>
        </is>
      </c>
      <c r="H71" t="inlineStr">
        <is>
          <t>herb</t>
        </is>
      </c>
      <c r="I71" t="inlineStr">
        <is>
          <t>3</t>
        </is>
      </c>
      <c r="J71">
        <f>IF(G71="","",IFERROR(IF(G71="infusing",IFERROR(LOOKUP(2,1/ISNUMBER(SEARCH(_lookup!$D$3:$D$4,H71)),_lookup!$E$3:$E$4),"INT"),VLOOKUP(G71,_lookup!$A$3:$B$14,2,FALSE)),""))</f>
        <v/>
      </c>
      <c r="K71">
        <f>IF(F71&lt;&gt;"weapon","",IF(G71="miscellaneous","1-4",IF(I71="","",IFERROR(VLOOKUP(I71&amp;"|"&amp;IF(LEFT(H71,2)="2H",2,1)&amp;"|"&amp;IF(G71="slashing",1,0),_lookup!$G$3:$H$18,2,FALSE),""))))</f>
        <v/>
      </c>
      <c r="L71">
        <f>IF(K71="","",IF(OR(G71="channeling",G71="infusing"),"Magical",IF(G71="blocking","Anti-Physical",IF(G71="warding","Anti-Magical","Physical"))))</f>
        <v/>
      </c>
      <c r="O71">
        <f>IF(F71&lt;&gt;"armor","","TBD")</f>
        <v/>
      </c>
      <c r="P71">
        <f>IF(O71="","",IF(OR(G71="channeling",G71="infusing"),"Magical",IF(G71="blocking","Anti-Physical",IF(G71="warding","Anti-Magical","Physical"))))</f>
        <v/>
      </c>
      <c r="S71" t="n">
        <v>100</v>
      </c>
      <c r="T71" t="inlineStr">
        <is>
          <t>Used to craft tier 3 Survival potions.</t>
        </is>
      </c>
      <c r="U71" t="inlineStr">
        <is>
          <t>A root grown in a tight blue spiral inside its own golden wood. Every mystic has a theory, and none will dig for it alone.</t>
        </is>
      </c>
      <c r="X71" t="inlineStr">
        <is>
          <t>herb3</t>
        </is>
      </c>
      <c r="Y71" t="inlineStr">
        <is>
          <t>https://drive.google.com/uc?export=download&amp;id=1JqeOr3STV6GAlQMbbeukJ7bgO22L8P3e</t>
        </is>
      </c>
    </row>
    <row r="72">
      <c r="A72" t="inlineStr">
        <is>
          <t>IT71</t>
        </is>
      </c>
      <c r="B72" t="inlineStr">
        <is>
          <t>item_template</t>
        </is>
      </c>
      <c r="C72" t="inlineStr">
        <is>
          <t>tile</t>
        </is>
      </c>
      <c r="D72" t="inlineStr">
        <is>
          <t>herbs</t>
        </is>
      </c>
      <c r="E72" t="inlineStr">
        <is>
          <t>Twig</t>
        </is>
      </c>
      <c r="F72" t="inlineStr">
        <is>
          <t>goods</t>
        </is>
      </c>
      <c r="G72" t="inlineStr">
        <is>
          <t>junk</t>
        </is>
      </c>
      <c r="I72" t="inlineStr">
        <is>
          <t>0</t>
        </is>
      </c>
      <c r="J72">
        <f>IF(G72="","",IFERROR(IF(G72="infusing",IFERROR(LOOKUP(2,1/ISNUMBER(SEARCH(_lookup!$D$3:$D$4,H72)),_lookup!$E$3:$E$4),"INT"),VLOOKUP(G72,_lookup!$A$3:$B$14,2,FALSE)),""))</f>
        <v/>
      </c>
      <c r="K72">
        <f>IF(F72&lt;&gt;"weapon","",IF(G72="miscellaneous","1-4",IF(I72="","",IFERROR(VLOOKUP(I72&amp;"|"&amp;IF(LEFT(H72,2)="2H",2,1)&amp;"|"&amp;IF(G72="slashing",1,0),_lookup!$G$3:$H$18,2,FALSE),""))))</f>
        <v/>
      </c>
      <c r="L72">
        <f>IF(K72="","",IF(OR(G72="channeling",G72="infusing"),"Magical",IF(G72="blocking","Anti-Physical",IF(G72="warding","Anti-Magical","Physical"))))</f>
        <v/>
      </c>
      <c r="O72">
        <f>IF(F72&lt;&gt;"armor","","TBD")</f>
        <v/>
      </c>
      <c r="P72">
        <f>IF(O72="","",IF(OR(G72="channeling",G72="infusing"),"Magical",IF(G72="blocking","Anti-Physical",IF(G72="warding","Anti-Magical","Physical"))))</f>
        <v/>
      </c>
      <c r="S72" t="n">
        <v>1</v>
      </c>
      <c r="U72" t="inlineStr">
        <is>
          <t>A green twig with a few pink buds still on it. It was attached to something more promising a moment ago.</t>
        </is>
      </c>
      <c r="Y72" t="inlineStr">
        <is>
          <t>https://drive.google.com/uc?export=download&amp;id=1WofBJ9UYhO3k7H76mxD23qOorr7uGsKC</t>
        </is>
      </c>
    </row>
    <row r="73">
      <c r="A73" t="inlineStr">
        <is>
          <t>IT72</t>
        </is>
      </c>
      <c r="B73" t="inlineStr">
        <is>
          <t>item_template</t>
        </is>
      </c>
      <c r="C73" t="inlineStr">
        <is>
          <t>tile</t>
        </is>
      </c>
      <c r="D73" t="inlineStr">
        <is>
          <t>herbs</t>
        </is>
      </c>
      <c r="E73" t="inlineStr">
        <is>
          <t>Heartbean</t>
        </is>
      </c>
      <c r="F73" t="inlineStr">
        <is>
          <t>goods</t>
        </is>
      </c>
      <c r="G73" t="inlineStr">
        <is>
          <t>material</t>
        </is>
      </c>
      <c r="H73" t="inlineStr">
        <is>
          <t>seed</t>
        </is>
      </c>
      <c r="I73" t="inlineStr">
        <is>
          <t>0</t>
        </is>
      </c>
      <c r="J73">
        <f>IF(G73="","",IFERROR(IF(G73="infusing",IFERROR(LOOKUP(2,1/ISNUMBER(SEARCH(_lookup!$D$3:$D$4,H73)),_lookup!$E$3:$E$4),"INT"),VLOOKUP(G73,_lookup!$A$3:$B$14,2,FALSE)),""))</f>
        <v/>
      </c>
      <c r="K73">
        <f>IF(F73&lt;&gt;"weapon","",IF(G73="miscellaneous","1-4",IF(I73="","",IFERROR(VLOOKUP(I73&amp;"|"&amp;IF(LEFT(H73,2)="2H",2,1)&amp;"|"&amp;IF(G73="slashing",1,0),_lookup!$G$3:$H$18,2,FALSE),""))))</f>
        <v/>
      </c>
      <c r="L73">
        <f>IF(K73="","",IF(OR(G73="channeling",G73="infusing"),"Magical",IF(G73="blocking","Anti-Physical",IF(G73="warding","Anti-Magical","Physical"))))</f>
        <v/>
      </c>
      <c r="O73">
        <f>IF(F73&lt;&gt;"armor","","TBD")</f>
        <v/>
      </c>
      <c r="P73">
        <f>IF(O73="","",IF(OR(G73="channeling",G73="infusing"),"Magical",IF(G73="blocking","Anti-Physical",IF(G73="warding","Anti-Magical","Physical"))))</f>
        <v/>
      </c>
      <c r="S73" t="n">
        <v>3</v>
      </c>
      <c r="T73" t="inlineStr">
        <is>
          <t>Used to craft tier 0 Attuning spelldust.</t>
        </is>
      </c>
      <c r="U73" t="inlineStr">
        <is>
          <t>Cream-pale and warm in the paw, holding the last charge the plant drew before cutting. Ground fine, it gives an infusion a modest edge.</t>
        </is>
      </c>
      <c r="X73" t="inlineStr">
        <is>
          <t>seed0</t>
        </is>
      </c>
      <c r="Y73" t="inlineStr">
        <is>
          <t>https://drive.google.com/uc?export=download&amp;id=1MM9HXLbAhvPatKteacw1y3a2hNsx9fFE</t>
        </is>
      </c>
    </row>
    <row r="74">
      <c r="A74" t="inlineStr">
        <is>
          <t>IT73</t>
        </is>
      </c>
      <c r="B74" t="inlineStr">
        <is>
          <t>item_template</t>
        </is>
      </c>
      <c r="C74" t="inlineStr">
        <is>
          <t>tile</t>
        </is>
      </c>
      <c r="D74" t="inlineStr">
        <is>
          <t>herbs</t>
        </is>
      </c>
      <c r="E74" t="inlineStr">
        <is>
          <t>Glowpod</t>
        </is>
      </c>
      <c r="F74" t="inlineStr">
        <is>
          <t>goods</t>
        </is>
      </c>
      <c r="G74" t="inlineStr">
        <is>
          <t>material</t>
        </is>
      </c>
      <c r="H74" t="inlineStr">
        <is>
          <t>seed</t>
        </is>
      </c>
      <c r="I74" t="inlineStr">
        <is>
          <t>1</t>
        </is>
      </c>
      <c r="J74">
        <f>IF(G74="","",IFERROR(IF(G74="infusing",IFERROR(LOOKUP(2,1/ISNUMBER(SEARCH(_lookup!$D$3:$D$4,H74)),_lookup!$E$3:$E$4),"INT"),VLOOKUP(G74,_lookup!$A$3:$B$14,2,FALSE)),""))</f>
        <v/>
      </c>
      <c r="K74">
        <f>IF(F74&lt;&gt;"weapon","",IF(G74="miscellaneous","1-4",IF(I74="","",IFERROR(VLOOKUP(I74&amp;"|"&amp;IF(LEFT(H74,2)="2H",2,1)&amp;"|"&amp;IF(G74="slashing",1,0),_lookup!$G$3:$H$18,2,FALSE),""))))</f>
        <v/>
      </c>
      <c r="L74">
        <f>IF(K74="","",IF(OR(G74="channeling",G74="infusing"),"Magical",IF(G74="blocking","Anti-Physical",IF(G74="warding","Anti-Magical","Physical"))))</f>
        <v/>
      </c>
      <c r="O74">
        <f>IF(F74&lt;&gt;"armor","","TBD")</f>
        <v/>
      </c>
      <c r="P74">
        <f>IF(O74="","",IF(OR(G74="channeling",G74="infusing"),"Magical",IF(G74="blocking","Anti-Physical",IF(G74="warding","Anti-Magical","Physical"))))</f>
        <v/>
      </c>
      <c r="S74" t="n">
        <v>9</v>
      </c>
      <c r="T74" t="inlineStr">
        <is>
          <t>Used to craft tier 1 Attuning spelldust.</t>
        </is>
      </c>
      <c r="U74" t="inlineStr">
        <is>
          <t>The orange flush at the tip is charge the seed could not contain. Its dust bites harder than a Heartbean, and spends itself faster.</t>
        </is>
      </c>
      <c r="X74" t="inlineStr">
        <is>
          <t>seed1</t>
        </is>
      </c>
      <c r="Y74" t="inlineStr">
        <is>
          <t>https://drive.google.com/uc?export=download&amp;id=11kA6nF3i1dqr65q8yJlb0nIa8csU0XsB</t>
        </is>
      </c>
    </row>
    <row r="75">
      <c r="A75" t="inlineStr">
        <is>
          <t>IT74</t>
        </is>
      </c>
      <c r="B75" t="inlineStr">
        <is>
          <t>item_template</t>
        </is>
      </c>
      <c r="C75" t="inlineStr">
        <is>
          <t>tile</t>
        </is>
      </c>
      <c r="D75" t="inlineStr">
        <is>
          <t>herbs</t>
        </is>
      </c>
      <c r="E75" t="inlineStr">
        <is>
          <t>Moonpip</t>
        </is>
      </c>
      <c r="F75" t="inlineStr">
        <is>
          <t>goods</t>
        </is>
      </c>
      <c r="G75" t="inlineStr">
        <is>
          <t>material</t>
        </is>
      </c>
      <c r="H75" t="inlineStr">
        <is>
          <t>seed</t>
        </is>
      </c>
      <c r="I75" t="inlineStr">
        <is>
          <t>2</t>
        </is>
      </c>
      <c r="J75">
        <f>IF(G75="","",IFERROR(IF(G75="infusing",IFERROR(LOOKUP(2,1/ISNUMBER(SEARCH(_lookup!$D$3:$D$4,H75)),_lookup!$E$3:$E$4),"INT"),VLOOKUP(G75,_lookup!$A$3:$B$14,2,FALSE)),""))</f>
        <v/>
      </c>
      <c r="K75">
        <f>IF(F75&lt;&gt;"weapon","",IF(G75="miscellaneous","1-4",IF(I75="","",IFERROR(VLOOKUP(I75&amp;"|"&amp;IF(LEFT(H75,2)="2H",2,1)&amp;"|"&amp;IF(G75="slashing",1,0),_lookup!$G$3:$H$18,2,FALSE),""))))</f>
        <v/>
      </c>
      <c r="L75">
        <f>IF(K75="","",IF(OR(G75="channeling",G75="infusing"),"Magical",IF(G75="blocking","Anti-Physical",IF(G75="warding","Anti-Magical","Physical"))))</f>
        <v/>
      </c>
      <c r="O75">
        <f>IF(F75&lt;&gt;"armor","","TBD")</f>
        <v/>
      </c>
      <c r="P75">
        <f>IF(O75="","",IF(OR(G75="channeling",G75="infusing"),"Magical",IF(G75="blocking","Anti-Physical",IF(G75="warding","Anti-Magical","Physical"))))</f>
        <v/>
      </c>
      <c r="S75" t="n">
        <v>36</v>
      </c>
      <c r="T75" t="inlineStr">
        <is>
          <t>Used to craft tier 2 Attuning spelldust.</t>
        </is>
      </c>
      <c r="U75" t="inlineStr">
        <is>
          <t>Set under a full moon, and it keeps that cold draw long after the pod opens. The dust holds through a working instead of burning off early.</t>
        </is>
      </c>
      <c r="X75" t="inlineStr">
        <is>
          <t>seed2</t>
        </is>
      </c>
      <c r="Y75" t="inlineStr">
        <is>
          <t>https://drive.google.com/uc?export=download&amp;id=140Ork0_0azZsA1JbK1IkJWi5RwYHQWcy</t>
        </is>
      </c>
    </row>
    <row r="76">
      <c r="A76" t="inlineStr">
        <is>
          <t>IT75</t>
        </is>
      </c>
      <c r="B76" t="inlineStr">
        <is>
          <t>item_template</t>
        </is>
      </c>
      <c r="C76" t="inlineStr">
        <is>
          <t>tile</t>
        </is>
      </c>
      <c r="D76" t="inlineStr">
        <is>
          <t>herbs</t>
        </is>
      </c>
      <c r="E76" t="inlineStr">
        <is>
          <t>Crystalseed</t>
        </is>
      </c>
      <c r="F76" t="inlineStr">
        <is>
          <t>goods</t>
        </is>
      </c>
      <c r="G76" t="inlineStr">
        <is>
          <t>material</t>
        </is>
      </c>
      <c r="H76" t="inlineStr">
        <is>
          <t>seed</t>
        </is>
      </c>
      <c r="I76" t="inlineStr">
        <is>
          <t>3</t>
        </is>
      </c>
      <c r="J76">
        <f>IF(G76="","",IFERROR(IF(G76="infusing",IFERROR(LOOKUP(2,1/ISNUMBER(SEARCH(_lookup!$D$3:$D$4,H76)),_lookup!$E$3:$E$4),"INT"),VLOOKUP(G76,_lookup!$A$3:$B$14,2,FALSE)),""))</f>
        <v/>
      </c>
      <c r="K76">
        <f>IF(F76&lt;&gt;"weapon","",IF(G76="miscellaneous","1-4",IF(I76="","",IFERROR(VLOOKUP(I76&amp;"|"&amp;IF(LEFT(H76,2)="2H",2,1)&amp;"|"&amp;IF(G76="slashing",1,0),_lookup!$G$3:$H$18,2,FALSE),""))))</f>
        <v/>
      </c>
      <c r="L76">
        <f>IF(K76="","",IF(OR(G76="channeling",G76="infusing"),"Magical",IF(G76="blocking","Anti-Physical",IF(G76="warding","Anti-Magical","Physical"))))</f>
        <v/>
      </c>
      <c r="O76">
        <f>IF(F76&lt;&gt;"armor","","TBD")</f>
        <v/>
      </c>
      <c r="P76">
        <f>IF(O76="","",IF(OR(G76="channeling",G76="infusing"),"Magical",IF(G76="blocking","Anti-Physical",IF(G76="warding","Anti-Magical","Physical"))))</f>
        <v/>
      </c>
      <c r="S76" t="n">
        <v>100</v>
      </c>
      <c r="T76" t="inlineStr">
        <is>
          <t>Used to craft tier 3 Attuning spelldust.</t>
        </is>
      </c>
      <c r="U76" t="inlineStr">
        <is>
          <t>The crest and long jaw are not decoration; it grew to hold more than a seed should. Its dust takes an infusion past the crystal's cut.</t>
        </is>
      </c>
      <c r="X76" t="inlineStr">
        <is>
          <t>seed3</t>
        </is>
      </c>
      <c r="Y76" t="inlineStr">
        <is>
          <t>https://drive.google.com/uc?export=download&amp;id=14Xsa2PHPq6dqM_Q4WmBkq2votG8aO9x_</t>
        </is>
      </c>
    </row>
    <row r="77">
      <c r="A77" t="inlineStr">
        <is>
          <t>IT76</t>
        </is>
      </c>
      <c r="B77" t="inlineStr">
        <is>
          <t>item_template</t>
        </is>
      </c>
      <c r="C77" t="inlineStr">
        <is>
          <t>tile</t>
        </is>
      </c>
      <c r="D77" t="inlineStr">
        <is>
          <t>forestry</t>
        </is>
      </c>
      <c r="E77" t="inlineStr">
        <is>
          <t>Woodaxe</t>
        </is>
      </c>
      <c r="F77" t="inlineStr">
        <is>
          <t>weapon</t>
        </is>
      </c>
      <c r="G77" t="inlineStr">
        <is>
          <t>miscellaneous</t>
        </is>
      </c>
      <c r="H77" t="inlineStr">
        <is>
          <t>1H</t>
        </is>
      </c>
      <c r="I77" t="inlineStr">
        <is>
          <t>0</t>
        </is>
      </c>
      <c r="J77">
        <f>IF(G77="","",IFERROR(IF(G77="infusing",IFERROR(LOOKUP(2,1/ISNUMBER(SEARCH(_lookup!$D$3:$D$4,H77)),_lookup!$E$3:$E$4),"INT"),VLOOKUP(G77,_lookup!$A$3:$B$14,2,FALSE)),""))</f>
        <v/>
      </c>
      <c r="K77">
        <f>IF(F77&lt;&gt;"weapon","",IF(G77="miscellaneous","1-4",IF(I77="","",IFERROR(VLOOKUP(I77&amp;"|"&amp;IF(LEFT(H77,2)="2H",2,1)&amp;"|"&amp;IF(G77="slashing",1,0),_lookup!$G$3:$H$18,2,FALSE),""))))</f>
        <v/>
      </c>
      <c r="L77">
        <f>IF(K77="","",IF(OR(G77="channeling",G77="infusing"),"Magical",IF(G77="blocking","Anti-Physical",IF(G77="warding","Anti-Magical","Physical"))))</f>
        <v/>
      </c>
      <c r="O77">
        <f>IF(F77&lt;&gt;"armor","","TBD")</f>
        <v/>
      </c>
      <c r="P77">
        <f>IF(O77="","",IF(OR(G77="channeling",G77="infusing"),"Magical",IF(G77="blocking","Anti-Physical",IF(G77="warding","Anti-Magical","Physical"))))</f>
        <v/>
      </c>
      <c r="S77" t="n">
        <v>12</v>
      </c>
      <c r="T77" t="inlineStr">
        <is>
          <t>Doubles the loot of level 0 Forestry. This does not stack.</t>
        </is>
      </c>
      <c r="U77" t="inlineStr">
        <is>
          <t>Every cottage keeps one by the door, and every one has been sharpened more times than its owner can count.</t>
        </is>
      </c>
      <c r="X77" t="inlineStr">
        <is>
          <t>dmg:1-4|Physical|miscellaneous</t>
        </is>
      </c>
      <c r="Y77" t="inlineStr">
        <is>
          <t>https://drive.google.com/uc?export=download&amp;id=1ahJfjoXiGVc2VR91r95wg7fnmkWVN1XU</t>
        </is>
      </c>
    </row>
    <row r="78">
      <c r="A78" t="inlineStr">
        <is>
          <t>IT77</t>
        </is>
      </c>
      <c r="B78" t="inlineStr">
        <is>
          <t>item_template</t>
        </is>
      </c>
      <c r="C78" t="inlineStr">
        <is>
          <t>tile</t>
        </is>
      </c>
      <c r="D78" t="inlineStr">
        <is>
          <t>forestry</t>
        </is>
      </c>
      <c r="E78" t="inlineStr">
        <is>
          <t>Sturdy Woodaxe</t>
        </is>
      </c>
      <c r="F78" t="inlineStr">
        <is>
          <t>weapon</t>
        </is>
      </c>
      <c r="G78" t="inlineStr">
        <is>
          <t>miscellaneous</t>
        </is>
      </c>
      <c r="H78" t="inlineStr">
        <is>
          <t>1H</t>
        </is>
      </c>
      <c r="I78" t="inlineStr">
        <is>
          <t>1</t>
        </is>
      </c>
      <c r="J78">
        <f>IF(G78="","",IFERROR(IF(G78="infusing",IFERROR(LOOKUP(2,1/ISNUMBER(SEARCH(_lookup!$D$3:$D$4,H78)),_lookup!$E$3:$E$4),"INT"),VLOOKUP(G78,_lookup!$A$3:$B$14,2,FALSE)),""))</f>
        <v/>
      </c>
      <c r="K78">
        <f>IF(F78&lt;&gt;"weapon","",IF(G78="miscellaneous","1-4",IF(I78="","",IFERROR(VLOOKUP(I78&amp;"|"&amp;IF(LEFT(H78,2)="2H",2,1)&amp;"|"&amp;IF(G78="slashing",1,0),_lookup!$G$3:$H$18,2,FALSE),""))))</f>
        <v/>
      </c>
      <c r="L78">
        <f>IF(K78="","",IF(OR(G78="channeling",G78="infusing"),"Magical",IF(G78="blocking","Anti-Physical",IF(G78="warding","Anti-Magical","Physical"))))</f>
        <v/>
      </c>
      <c r="O78">
        <f>IF(F78&lt;&gt;"armor","","TBD")</f>
        <v/>
      </c>
      <c r="P78">
        <f>IF(O78="","",IF(OR(G78="channeling",G78="infusing"),"Magical",IF(G78="blocking","Anti-Physical",IF(G78="warding","Anti-Magical","Physical"))))</f>
        <v/>
      </c>
      <c r="S78" t="n">
        <v>36</v>
      </c>
      <c r="T78" t="inlineStr">
        <is>
          <t>Doubles the loot of level 0 or 1 Forestry. This does not stack.</t>
        </is>
      </c>
      <c r="U78" t="inlineStr">
        <is>
          <t>Stamped with the forestry lodge's mark. Show it at any mill and they'll weigh your timber fairly.</t>
        </is>
      </c>
      <c r="X78" t="inlineStr">
        <is>
          <t>dmg:1-4|Physical|miscellaneous</t>
        </is>
      </c>
      <c r="Y78" t="inlineStr">
        <is>
          <t>https://drive.google.com/uc?export=download&amp;id=1QLRlt_no5MD88DW8_xNyf0wn86i3UxQC</t>
        </is>
      </c>
    </row>
    <row r="79">
      <c r="A79" t="inlineStr">
        <is>
          <t>IT78</t>
        </is>
      </c>
      <c r="B79" t="inlineStr">
        <is>
          <t>item_template</t>
        </is>
      </c>
      <c r="C79" t="inlineStr">
        <is>
          <t>tile</t>
        </is>
      </c>
      <c r="D79" t="inlineStr">
        <is>
          <t>forestry</t>
        </is>
      </c>
      <c r="E79" t="inlineStr">
        <is>
          <t>Steel Woodaxe</t>
        </is>
      </c>
      <c r="F79" t="inlineStr">
        <is>
          <t>weapon</t>
        </is>
      </c>
      <c r="G79" t="inlineStr">
        <is>
          <t>miscellaneous</t>
        </is>
      </c>
      <c r="H79" t="inlineStr">
        <is>
          <t>1H</t>
        </is>
      </c>
      <c r="I79" t="inlineStr">
        <is>
          <t>2</t>
        </is>
      </c>
      <c r="J79">
        <f>IF(G79="","",IFERROR(IF(G79="infusing",IFERROR(LOOKUP(2,1/ISNUMBER(SEARCH(_lookup!$D$3:$D$4,H79)),_lookup!$E$3:$E$4),"INT"),VLOOKUP(G79,_lookup!$A$3:$B$14,2,FALSE)),""))</f>
        <v/>
      </c>
      <c r="K79">
        <f>IF(F79&lt;&gt;"weapon","",IF(G79="miscellaneous","1-4",IF(I79="","",IFERROR(VLOOKUP(I79&amp;"|"&amp;IF(LEFT(H79,2)="2H",2,1)&amp;"|"&amp;IF(G79="slashing",1,0),_lookup!$G$3:$H$18,2,FALSE),""))))</f>
        <v/>
      </c>
      <c r="L79">
        <f>IF(K79="","",IF(OR(G79="channeling",G79="infusing"),"Magical",IF(G79="blocking","Anti-Physical",IF(G79="warding","Anti-Magical","Physical"))))</f>
        <v/>
      </c>
      <c r="O79">
        <f>IF(F79&lt;&gt;"armor","","TBD")</f>
        <v/>
      </c>
      <c r="P79">
        <f>IF(O79="","",IF(OR(G79="channeling",G79="infusing"),"Magical",IF(G79="blocking","Anti-Physical",IF(G79="warding","Anti-Magical","Physical"))))</f>
        <v/>
      </c>
      <c r="S79" t="n">
        <v>144</v>
      </c>
      <c r="T79" t="inlineStr">
        <is>
          <t>Doubles the loot of level 0, 1, or 2 Forestry. This does not stack.</t>
        </is>
      </c>
      <c r="U79" t="inlineStr">
        <is>
          <t>Carried only by those who mark which trees may fall. Timber cut by any other blade is simply stolen.</t>
        </is>
      </c>
      <c r="X79" t="inlineStr">
        <is>
          <t>dmg:1-4|Physical|miscellaneous</t>
        </is>
      </c>
      <c r="Y79" t="inlineStr">
        <is>
          <t>https://drive.google.com/uc?export=download&amp;id=1-1ZUe75PBaiW6YfkisWkvj0qbpnLGnZN</t>
        </is>
      </c>
    </row>
    <row r="80">
      <c r="A80" t="inlineStr">
        <is>
          <t>IT79</t>
        </is>
      </c>
      <c r="B80" t="inlineStr">
        <is>
          <t>item_template</t>
        </is>
      </c>
      <c r="C80" t="inlineStr">
        <is>
          <t>tile</t>
        </is>
      </c>
      <c r="D80" t="inlineStr">
        <is>
          <t>forestry</t>
        </is>
      </c>
      <c r="E80" t="inlineStr">
        <is>
          <t>Simple Wood</t>
        </is>
      </c>
      <c r="F80" t="inlineStr">
        <is>
          <t>goods</t>
        </is>
      </c>
      <c r="G80" t="inlineStr">
        <is>
          <t>junk</t>
        </is>
      </c>
      <c r="J80">
        <f>IF(G80="","",IFERROR(IF(G80="infusing",IFERROR(LOOKUP(2,1/ISNUMBER(SEARCH(_lookup!$D$3:$D$4,H80)),_lookup!$E$3:$E$4),"INT"),VLOOKUP(G80,_lookup!$A$3:$B$14,2,FALSE)),""))</f>
        <v/>
      </c>
      <c r="K80">
        <f>IF(F80&lt;&gt;"weapon","",IF(G80="miscellaneous","1-4",IF(I80="","",IFERROR(VLOOKUP(I80&amp;"|"&amp;IF(LEFT(H80,2)="2H",2,1)&amp;"|"&amp;IF(G80="slashing",1,0),_lookup!$G$3:$H$18,2,FALSE),""))))</f>
        <v/>
      </c>
      <c r="L80">
        <f>IF(K80="","",IF(OR(G80="channeling",G80="infusing"),"Magical",IF(G80="blocking","Anti-Physical",IF(G80="warding","Anti-Magical","Physical"))))</f>
        <v/>
      </c>
      <c r="O80">
        <f>IF(F80&lt;&gt;"armor","","TBD")</f>
        <v/>
      </c>
      <c r="P80">
        <f>IF(O80="","",IF(OR(G80="channeling",G80="infusing"),"Magical",IF(G80="blocking","Anti-Physical",IF(G80="warding","Anti-Magical","Physical"))))</f>
        <v/>
      </c>
      <c r="U80" t="inlineStr">
        <is>
          <t>Too knotted to carve and too damp to burn well. Someone at the mill will still pay a coin for it.</t>
        </is>
      </c>
      <c r="Y80" s="7" t="inlineStr">
        <is>
          <t>https://drive.google.com/uc?export=download&amp;id=1Y0lcjc4S3CwFLs6GFICxizy9yMsjf2kz</t>
        </is>
      </c>
    </row>
    <row r="81">
      <c r="A81" t="inlineStr">
        <is>
          <t>IT80</t>
        </is>
      </c>
      <c r="B81" t="inlineStr">
        <is>
          <t>item_template</t>
        </is>
      </c>
      <c r="C81" t="inlineStr">
        <is>
          <t>tile</t>
        </is>
      </c>
      <c r="D81" t="inlineStr">
        <is>
          <t>forestry</t>
        </is>
      </c>
      <c r="E81" t="inlineStr">
        <is>
          <t>Hedgecap</t>
        </is>
      </c>
      <c r="F81" t="inlineStr">
        <is>
          <t>goods</t>
        </is>
      </c>
      <c r="G81" t="inlineStr">
        <is>
          <t>material</t>
        </is>
      </c>
      <c r="H81" t="inlineStr">
        <is>
          <t>mushroom</t>
        </is>
      </c>
      <c r="I81" t="inlineStr">
        <is>
          <t>0</t>
        </is>
      </c>
      <c r="J81">
        <f>IF(G81="","",IFERROR(IF(G81="infusing",IFERROR(LOOKUP(2,1/ISNUMBER(SEARCH(_lookup!$D$3:$D$4,H81)),_lookup!$E$3:$E$4),"INT"),VLOOKUP(G81,_lookup!$A$3:$B$14,2,FALSE)),""))</f>
        <v/>
      </c>
      <c r="K81">
        <f>IF(F81&lt;&gt;"weapon","",IF(G81="miscellaneous","1-4",IF(I81="","",IFERROR(VLOOKUP(I81&amp;"|"&amp;IF(LEFT(H81,2)="2H",2,1)&amp;"|"&amp;IF(G81="slashing",1,0),_lookup!$G$3:$H$18,2,FALSE),""))))</f>
        <v/>
      </c>
      <c r="L81">
        <f>IF(K81="","",IF(OR(G81="channeling",G81="infusing"),"Magical",IF(G81="blocking","Anti-Physical",IF(G81="warding","Anti-Magical","Physical"))))</f>
        <v/>
      </c>
      <c r="O81">
        <f>IF(F81&lt;&gt;"armor","","TBD")</f>
        <v/>
      </c>
      <c r="P81">
        <f>IF(O81="","",IF(OR(G81="channeling",G81="infusing"),"Magical",IF(G81="blocking","Anti-Physical",IF(G81="warding","Anti-Magical","Physical"))))</f>
        <v/>
      </c>
      <c r="S81" t="n">
        <v>3</v>
      </c>
      <c r="T81" t="inlineStr">
        <is>
          <t>Used to craft tier 0 Survival drinks.</t>
        </is>
      </c>
      <c r="U81" t="inlineStr">
        <is>
          <t>Every tavern cellar keeps a sack. Brewed plain, it makes the brown ale that ends a long day in the fields.</t>
        </is>
      </c>
      <c r="X81" t="inlineStr">
        <is>
          <t>mushroom0</t>
        </is>
      </c>
      <c r="Y81" t="inlineStr">
        <is>
          <t>https://drive.google.com/uc?export=download&amp;id=163SkDPNZQalpcOQBLoFf8YqoaBLGGI5T</t>
        </is>
      </c>
    </row>
    <row r="82">
      <c r="A82" t="inlineStr">
        <is>
          <t>IT81</t>
        </is>
      </c>
      <c r="B82" t="inlineStr">
        <is>
          <t>item_template</t>
        </is>
      </c>
      <c r="C82" t="inlineStr">
        <is>
          <t>tile</t>
        </is>
      </c>
      <c r="D82" t="inlineStr">
        <is>
          <t>forestry</t>
        </is>
      </c>
      <c r="E82" t="inlineStr">
        <is>
          <t>Stormhood</t>
        </is>
      </c>
      <c r="F82" t="inlineStr">
        <is>
          <t>goods</t>
        </is>
      </c>
      <c r="G82" t="inlineStr">
        <is>
          <t>material</t>
        </is>
      </c>
      <c r="H82" t="inlineStr">
        <is>
          <t>mushroom</t>
        </is>
      </c>
      <c r="I82" t="inlineStr">
        <is>
          <t>1</t>
        </is>
      </c>
      <c r="J82">
        <f>IF(G82="","",IFERROR(IF(G82="infusing",IFERROR(LOOKUP(2,1/ISNUMBER(SEARCH(_lookup!$D$3:$D$4,H82)),_lookup!$E$3:$E$4),"INT"),VLOOKUP(G82,_lookup!$A$3:$B$14,2,FALSE)),""))</f>
        <v/>
      </c>
      <c r="K82">
        <f>IF(F82&lt;&gt;"weapon","",IF(G82="miscellaneous","1-4",IF(I82="","",IFERROR(VLOOKUP(I82&amp;"|"&amp;IF(LEFT(H82,2)="2H",2,1)&amp;"|"&amp;IF(G82="slashing",1,0),_lookup!$G$3:$H$18,2,FALSE),""))))</f>
        <v/>
      </c>
      <c r="L82">
        <f>IF(K82="","",IF(OR(G82="channeling",G82="infusing"),"Magical",IF(G82="blocking","Anti-Physical",IF(G82="warding","Anti-Magical","Physical"))))</f>
        <v/>
      </c>
      <c r="O82">
        <f>IF(F82&lt;&gt;"armor","","TBD")</f>
        <v/>
      </c>
      <c r="P82">
        <f>IF(O82="","",IF(OR(G82="channeling",G82="infusing"),"Magical",IF(G82="blocking","Anti-Physical",IF(G82="warding","Anti-Magical","Physical"))))</f>
        <v/>
      </c>
      <c r="S82" t="n">
        <v>9</v>
      </c>
      <c r="T82" t="inlineStr">
        <is>
          <t>Used to craft tier 1 Survival drinks.</t>
        </is>
      </c>
      <c r="U82" t="inlineStr">
        <is>
          <t>Brewers store it in lidded tins. Stormhood stout is poured in garrison halls the night before a march.</t>
        </is>
      </c>
      <c r="X82" t="inlineStr">
        <is>
          <t>mushroom1</t>
        </is>
      </c>
      <c r="Y82" t="inlineStr">
        <is>
          <t>https://drive.google.com/uc?export=download&amp;id=1_hlpcb5w2sw9jcznaES4gznQO2cwBA-o</t>
        </is>
      </c>
    </row>
    <row r="83">
      <c r="A83" t="inlineStr">
        <is>
          <t>IT82</t>
        </is>
      </c>
      <c r="B83" t="inlineStr">
        <is>
          <t>item_template</t>
        </is>
      </c>
      <c r="C83" t="inlineStr">
        <is>
          <t>tile</t>
        </is>
      </c>
      <c r="D83" t="inlineStr">
        <is>
          <t>forestry</t>
        </is>
      </c>
      <c r="E83" t="inlineStr">
        <is>
          <t>Gossip Clump</t>
        </is>
      </c>
      <c r="F83" t="inlineStr">
        <is>
          <t>goods</t>
        </is>
      </c>
      <c r="G83" t="inlineStr">
        <is>
          <t>material</t>
        </is>
      </c>
      <c r="H83" t="inlineStr">
        <is>
          <t>mushroom</t>
        </is>
      </c>
      <c r="I83" t="inlineStr">
        <is>
          <t>2</t>
        </is>
      </c>
      <c r="J83">
        <f>IF(G83="","",IFERROR(IF(G83="infusing",IFERROR(LOOKUP(2,1/ISNUMBER(SEARCH(_lookup!$D$3:$D$4,H83)),_lookup!$E$3:$E$4),"INT"),VLOOKUP(G83,_lookup!$A$3:$B$14,2,FALSE)),""))</f>
        <v/>
      </c>
      <c r="K83">
        <f>IF(F83&lt;&gt;"weapon","",IF(G83="miscellaneous","1-4",IF(I83="","",IFERROR(VLOOKUP(I83&amp;"|"&amp;IF(LEFT(H83,2)="2H",2,1)&amp;"|"&amp;IF(G83="slashing",1,0),_lookup!$G$3:$H$18,2,FALSE),""))))</f>
        <v/>
      </c>
      <c r="L83">
        <f>IF(K83="","",IF(OR(G83="channeling",G83="infusing"),"Magical",IF(G83="blocking","Anti-Physical",IF(G83="warding","Anti-Magical","Physical"))))</f>
        <v/>
      </c>
      <c r="O83">
        <f>IF(F83&lt;&gt;"armor","","TBD")</f>
        <v/>
      </c>
      <c r="P83">
        <f>IF(O83="","",IF(OR(G83="channeling",G83="infusing"),"Magical",IF(G83="blocking","Anti-Physical",IF(G83="warding","Anti-Magical","Physical"))))</f>
        <v/>
      </c>
      <c r="S83" t="n">
        <v>36</v>
      </c>
      <c r="T83" t="inlineStr">
        <is>
          <t>Used to craft tier 2 Survival drinks.</t>
        </is>
      </c>
      <c r="U83" t="inlineStr">
        <is>
          <t>Sold whole, never picked apart. Its amber ale is poured only at high tables, in cups small enough to make it last.</t>
        </is>
      </c>
      <c r="X83" t="inlineStr">
        <is>
          <t>mushroom2</t>
        </is>
      </c>
      <c r="Y83" t="inlineStr">
        <is>
          <t>https://drive.google.com/uc?export=download&amp;id=1o7ThB_-VjHtMUHH4Z-6qZM9jMAT5nnUR</t>
        </is>
      </c>
    </row>
    <row r="84">
      <c r="A84" t="inlineStr">
        <is>
          <t>IT83</t>
        </is>
      </c>
      <c r="B84" t="inlineStr">
        <is>
          <t>item_template</t>
        </is>
      </c>
      <c r="C84" t="inlineStr">
        <is>
          <t>tile</t>
        </is>
      </c>
      <c r="D84" t="inlineStr">
        <is>
          <t>forestry</t>
        </is>
      </c>
      <c r="E84" t="inlineStr">
        <is>
          <t>Redcrown</t>
        </is>
      </c>
      <c r="F84" t="inlineStr">
        <is>
          <t>goods</t>
        </is>
      </c>
      <c r="G84" t="inlineStr">
        <is>
          <t>material</t>
        </is>
      </c>
      <c r="H84" t="inlineStr">
        <is>
          <t>mushroom</t>
        </is>
      </c>
      <c r="I84" t="inlineStr">
        <is>
          <t>3</t>
        </is>
      </c>
      <c r="J84">
        <f>IF(G84="","",IFERROR(IF(G84="infusing",IFERROR(LOOKUP(2,1/ISNUMBER(SEARCH(_lookup!$D$3:$D$4,H84)),_lookup!$E$3:$E$4),"INT"),VLOOKUP(G84,_lookup!$A$3:$B$14,2,FALSE)),""))</f>
        <v/>
      </c>
      <c r="K84">
        <f>IF(F84&lt;&gt;"weapon","",IF(G84="miscellaneous","1-4",IF(I84="","",IFERROR(VLOOKUP(I84&amp;"|"&amp;IF(LEFT(H84,2)="2H",2,1)&amp;"|"&amp;IF(G84="slashing",1,0),_lookup!$G$3:$H$18,2,FALSE),""))))</f>
        <v/>
      </c>
      <c r="L84">
        <f>IF(K84="","",IF(OR(G84="channeling",G84="infusing"),"Magical",IF(G84="blocking","Anti-Physical",IF(G84="warding","Anti-Magical","Physical"))))</f>
        <v/>
      </c>
      <c r="O84">
        <f>IF(F84&lt;&gt;"armor","","TBD")</f>
        <v/>
      </c>
      <c r="P84">
        <f>IF(O84="","",IF(OR(G84="channeling",G84="infusing"),"Magical",IF(G84="blocking","Anti-Physical",IF(G84="warding","Anti-Magical","Physical"))))</f>
        <v/>
      </c>
      <c r="S84" t="n">
        <v>100</v>
      </c>
      <c r="T84" t="inlineStr">
        <is>
          <t>Used to craft tier 3 Survival drinks.</t>
        </is>
      </c>
      <c r="U84" t="inlineStr">
        <is>
          <t>Every brewhouse tells of the one barrel ever made from a Redcrown. None agree on who drank it, only that they won.</t>
        </is>
      </c>
      <c r="X84" t="inlineStr">
        <is>
          <t>mushroom3</t>
        </is>
      </c>
      <c r="Y84" t="inlineStr">
        <is>
          <t>https://drive.google.com/uc?export=download&amp;id=1UzSlMwRvm3sUYWvZLV6f1TG3_CqYSZbE</t>
        </is>
      </c>
    </row>
    <row r="85">
      <c r="A85" t="inlineStr">
        <is>
          <t>IT84</t>
        </is>
      </c>
      <c r="B85" t="inlineStr">
        <is>
          <t>item_template</t>
        </is>
      </c>
      <c r="C85" t="inlineStr">
        <is>
          <t>tile</t>
        </is>
      </c>
      <c r="D85" t="inlineStr">
        <is>
          <t>forestry</t>
        </is>
      </c>
      <c r="E85" t="inlineStr">
        <is>
          <t>Ferndye Sap</t>
        </is>
      </c>
      <c r="F85" t="inlineStr">
        <is>
          <t>goods</t>
        </is>
      </c>
      <c r="G85" t="inlineStr">
        <is>
          <t>material</t>
        </is>
      </c>
      <c r="H85" t="inlineStr">
        <is>
          <t>sap</t>
        </is>
      </c>
      <c r="I85" t="inlineStr">
        <is>
          <t>0</t>
        </is>
      </c>
      <c r="J85">
        <f>IF(G85="","",IFERROR(IF(G85="infusing",IFERROR(LOOKUP(2,1/ISNUMBER(SEARCH(_lookup!$D$3:$D$4,H85)),_lookup!$E$3:$E$4),"INT"),VLOOKUP(G85,_lookup!$A$3:$B$14,2,FALSE)),""))</f>
        <v/>
      </c>
      <c r="K85">
        <f>IF(F85&lt;&gt;"weapon","",IF(G85="miscellaneous","1-4",IF(I85="","",IFERROR(VLOOKUP(I85&amp;"|"&amp;IF(LEFT(H85,2)="2H",2,1)&amp;"|"&amp;IF(G85="slashing",1,0),_lookup!$G$3:$H$18,2,FALSE),""))))</f>
        <v/>
      </c>
      <c r="L85">
        <f>IF(K85="","",IF(OR(G85="channeling",G85="infusing"),"Magical",IF(G85="blocking","Anti-Physical",IF(G85="warding","Anti-Magical","Physical"))))</f>
        <v/>
      </c>
      <c r="O85">
        <f>IF(F85&lt;&gt;"armor","","TBD")</f>
        <v/>
      </c>
      <c r="P85">
        <f>IF(O85="","",IF(OR(G85="channeling",G85="infusing"),"Magical",IF(G85="blocking","Anti-Physical",IF(G85="warding","Anti-Magical","Physical"))))</f>
        <v/>
      </c>
      <c r="S85" t="n">
        <v>3</v>
      </c>
      <c r="T85" t="inlineStr">
        <is>
          <t>Used to craft tier 0 Woodworking oils.</t>
        </is>
      </c>
      <c r="U85" t="inlineStr">
        <is>
          <t>Rendered over a slow fire into the green oil every hunter rubs into their bowstring before the season opens.</t>
        </is>
      </c>
      <c r="X85" t="inlineStr">
        <is>
          <t>sap0</t>
        </is>
      </c>
      <c r="Y85" t="inlineStr">
        <is>
          <t>https://drive.google.com/uc?export=download&amp;id=1ksI3hdqpaGGZSbmOQ6ujxIoC8bDqjJ30</t>
        </is>
      </c>
    </row>
    <row r="86">
      <c r="A86" t="inlineStr">
        <is>
          <t>IT85</t>
        </is>
      </c>
      <c r="B86" t="inlineStr">
        <is>
          <t>item_template</t>
        </is>
      </c>
      <c r="C86" t="inlineStr">
        <is>
          <t>tile</t>
        </is>
      </c>
      <c r="D86" t="inlineStr">
        <is>
          <t>forestry</t>
        </is>
      </c>
      <c r="E86" t="inlineStr">
        <is>
          <t>Coldtear Sap</t>
        </is>
      </c>
      <c r="F86" t="inlineStr">
        <is>
          <t>goods</t>
        </is>
      </c>
      <c r="G86" t="inlineStr">
        <is>
          <t>material</t>
        </is>
      </c>
      <c r="H86" t="inlineStr">
        <is>
          <t>sap</t>
        </is>
      </c>
      <c r="I86" t="inlineStr">
        <is>
          <t>1</t>
        </is>
      </c>
      <c r="J86">
        <f>IF(G86="","",IFERROR(IF(G86="infusing",IFERROR(LOOKUP(2,1/ISNUMBER(SEARCH(_lookup!$D$3:$D$4,H86)),_lookup!$E$3:$E$4),"INT"),VLOOKUP(G86,_lookup!$A$3:$B$14,2,FALSE)),""))</f>
        <v/>
      </c>
      <c r="K86">
        <f>IF(F86&lt;&gt;"weapon","",IF(G86="miscellaneous","1-4",IF(I86="","",IFERROR(VLOOKUP(I86&amp;"|"&amp;IF(LEFT(H86,2)="2H",2,1)&amp;"|"&amp;IF(G86="slashing",1,0),_lookup!$G$3:$H$18,2,FALSE),""))))</f>
        <v/>
      </c>
      <c r="L86">
        <f>IF(K86="","",IF(OR(G86="channeling",G86="infusing"),"Magical",IF(G86="blocking","Anti-Physical",IF(G86="warding","Anti-Magical","Physical"))))</f>
        <v/>
      </c>
      <c r="O86">
        <f>IF(F86&lt;&gt;"armor","","TBD")</f>
        <v/>
      </c>
      <c r="P86">
        <f>IF(O86="","",IF(OR(G86="channeling",G86="infusing"),"Magical",IF(G86="blocking","Anti-Physical",IF(G86="warding","Anti-Magical","Physical"))))</f>
        <v/>
      </c>
      <c r="S86" t="n">
        <v>9</v>
      </c>
      <c r="T86" t="inlineStr">
        <is>
          <t>Used to craft tier 1 Woodworking oils.</t>
        </is>
      </c>
      <c r="U86" t="inlineStr">
        <is>
          <t>Coldtear oil keeps a staff's charge from bleeding off in the rain. Every company quartermaster counts the flasks twice.</t>
        </is>
      </c>
      <c r="X86" t="inlineStr">
        <is>
          <t>sap1</t>
        </is>
      </c>
      <c r="Y86" t="inlineStr">
        <is>
          <t>https://drive.google.com/uc?export=download&amp;id=1U6VH4np5oBsbctXDMhOJPRzu6iEtYRns</t>
        </is>
      </c>
    </row>
    <row r="87">
      <c r="A87" t="inlineStr">
        <is>
          <t>IT86</t>
        </is>
      </c>
      <c r="B87" t="inlineStr">
        <is>
          <t>item_template</t>
        </is>
      </c>
      <c r="C87" t="inlineStr">
        <is>
          <t>tile</t>
        </is>
      </c>
      <c r="D87" t="inlineStr">
        <is>
          <t>forestry</t>
        </is>
      </c>
      <c r="E87" t="inlineStr">
        <is>
          <t>Deepglow Sap</t>
        </is>
      </c>
      <c r="F87" t="inlineStr">
        <is>
          <t>goods</t>
        </is>
      </c>
      <c r="G87" t="inlineStr">
        <is>
          <t>material</t>
        </is>
      </c>
      <c r="H87" t="inlineStr">
        <is>
          <t>sap</t>
        </is>
      </c>
      <c r="I87" t="inlineStr">
        <is>
          <t>2</t>
        </is>
      </c>
      <c r="J87">
        <f>IF(G87="","",IFERROR(IF(G87="infusing",IFERROR(LOOKUP(2,1/ISNUMBER(SEARCH(_lookup!$D$3:$D$4,H87)),_lookup!$E$3:$E$4),"INT"),VLOOKUP(G87,_lookup!$A$3:$B$14,2,FALSE)),""))</f>
        <v/>
      </c>
      <c r="K87">
        <f>IF(F87&lt;&gt;"weapon","",IF(G87="miscellaneous","1-4",IF(I87="","",IFERROR(VLOOKUP(I87&amp;"|"&amp;IF(LEFT(H87,2)="2H",2,1)&amp;"|"&amp;IF(G87="slashing",1,0),_lookup!$G$3:$H$18,2,FALSE),""))))</f>
        <v/>
      </c>
      <c r="L87">
        <f>IF(K87="","",IF(OR(G87="channeling",G87="infusing"),"Magical",IF(G87="blocking","Anti-Physical",IF(G87="warding","Anti-Magical","Physical"))))</f>
        <v/>
      </c>
      <c r="O87">
        <f>IF(F87&lt;&gt;"armor","","TBD")</f>
        <v/>
      </c>
      <c r="P87">
        <f>IF(O87="","",IF(OR(G87="channeling",G87="infusing"),"Magical",IF(G87="blocking","Anti-Physical",IF(G87="warding","Anti-Magical","Physical"))))</f>
        <v/>
      </c>
      <c r="S87" t="n">
        <v>36</v>
      </c>
      <c r="T87" t="inlineStr">
        <is>
          <t>Used to craft tier 2 Woodworking oils.</t>
        </is>
      </c>
      <c r="U87" t="inlineStr">
        <is>
          <t>Gathered by moonlight, a drop at a time. Its oil makes a staff hum loud enough to keep the bearer awake.</t>
        </is>
      </c>
      <c r="X87" t="inlineStr">
        <is>
          <t>sap2</t>
        </is>
      </c>
      <c r="Y87" t="inlineStr">
        <is>
          <t>https://drive.google.com/uc?export=download&amp;id=1Dy0Sl7sz5aWU5XzuWqGibhcEmV_YyjSs</t>
        </is>
      </c>
    </row>
    <row r="88">
      <c r="A88" t="inlineStr">
        <is>
          <t>IT87</t>
        </is>
      </c>
      <c r="B88" t="inlineStr">
        <is>
          <t>item_template</t>
        </is>
      </c>
      <c r="C88" t="inlineStr">
        <is>
          <t>tile</t>
        </is>
      </c>
      <c r="D88" t="inlineStr">
        <is>
          <t>forestry</t>
        </is>
      </c>
      <c r="E88" t="inlineStr">
        <is>
          <t>Madderblood Sap</t>
        </is>
      </c>
      <c r="F88" t="inlineStr">
        <is>
          <t>goods</t>
        </is>
      </c>
      <c r="G88" t="inlineStr">
        <is>
          <t>material</t>
        </is>
      </c>
      <c r="H88" t="inlineStr">
        <is>
          <t>sap</t>
        </is>
      </c>
      <c r="I88" t="inlineStr">
        <is>
          <t>3</t>
        </is>
      </c>
      <c r="J88">
        <f>IF(G88="","",IFERROR(IF(G88="infusing",IFERROR(LOOKUP(2,1/ISNUMBER(SEARCH(_lookup!$D$3:$D$4,H88)),_lookup!$E$3:$E$4),"INT"),VLOOKUP(G88,_lookup!$A$3:$B$14,2,FALSE)),""))</f>
        <v/>
      </c>
      <c r="K88">
        <f>IF(F88&lt;&gt;"weapon","",IF(G88="miscellaneous","1-4",IF(I88="","",IFERROR(VLOOKUP(I88&amp;"|"&amp;IF(LEFT(H88,2)="2H",2,1)&amp;"|"&amp;IF(G88="slashing",1,0),_lookup!$G$3:$H$18,2,FALSE),""))))</f>
        <v/>
      </c>
      <c r="L88">
        <f>IF(K88="","",IF(OR(G88="channeling",G88="infusing"),"Magical",IF(G88="blocking","Anti-Physical",IF(G88="warding","Anti-Magical","Physical"))))</f>
        <v/>
      </c>
      <c r="O88">
        <f>IF(F88&lt;&gt;"armor","","TBD")</f>
        <v/>
      </c>
      <c r="P88">
        <f>IF(O88="","",IF(OR(G88="channeling",G88="infusing"),"Magical",IF(G88="blocking","Anti-Physical",IF(G88="warding","Anti-Magical","Physical"))))</f>
        <v/>
      </c>
      <c r="S88" t="n">
        <v>100</v>
      </c>
      <c r="T88" t="inlineStr">
        <is>
          <t>Used to craft tier 3 Woodworking oils.</t>
        </is>
      </c>
      <c r="U88" t="inlineStr">
        <is>
          <t>It weeps from one tree in a generation. A single flask of its oil once set a whole river's mist alight.</t>
        </is>
      </c>
      <c r="X88" t="inlineStr">
        <is>
          <t>sap3</t>
        </is>
      </c>
      <c r="Y88" t="inlineStr">
        <is>
          <t>https://drive.google.com/uc?export=download&amp;id=1dZAtlu3qqwiR3e6LKtrJWxjiLdMw7t4Q</t>
        </is>
      </c>
    </row>
    <row r="89">
      <c r="A89" t="inlineStr">
        <is>
          <t>IT88</t>
        </is>
      </c>
      <c r="B89" t="inlineStr">
        <is>
          <t>item_template</t>
        </is>
      </c>
      <c r="C89" t="inlineStr">
        <is>
          <t>tile</t>
        </is>
      </c>
      <c r="D89" t="inlineStr">
        <is>
          <t>forestry</t>
        </is>
      </c>
      <c r="E89" t="inlineStr">
        <is>
          <t>Hedgewood</t>
        </is>
      </c>
      <c r="F89" t="inlineStr">
        <is>
          <t>goods</t>
        </is>
      </c>
      <c r="G89" t="inlineStr">
        <is>
          <t>material</t>
        </is>
      </c>
      <c r="H89" t="inlineStr">
        <is>
          <t>wood</t>
        </is>
      </c>
      <c r="I89" t="inlineStr">
        <is>
          <t>0</t>
        </is>
      </c>
      <c r="J89">
        <f>IF(G89="","",IFERROR(IF(G89="infusing",IFERROR(LOOKUP(2,1/ISNUMBER(SEARCH(_lookup!$D$3:$D$4,H89)),_lookup!$E$3:$E$4),"INT"),VLOOKUP(G89,_lookup!$A$3:$B$14,2,FALSE)),""))</f>
        <v/>
      </c>
      <c r="K89">
        <f>IF(F89&lt;&gt;"weapon","",IF(G89="miscellaneous","1-4",IF(I89="","",IFERROR(VLOOKUP(I89&amp;"|"&amp;IF(LEFT(H89,2)="2H",2,1)&amp;"|"&amp;IF(G89="slashing",1,0),_lookup!$G$3:$H$18,2,FALSE),""))))</f>
        <v/>
      </c>
      <c r="L89">
        <f>IF(K89="","",IF(OR(G89="channeling",G89="infusing"),"Magical",IF(G89="blocking","Anti-Physical",IF(G89="warding","Anti-Magical","Physical"))))</f>
        <v/>
      </c>
      <c r="O89">
        <f>IF(F89&lt;&gt;"armor","","TBD")</f>
        <v/>
      </c>
      <c r="P89">
        <f>IF(O89="","",IF(OR(G89="channeling",G89="infusing"),"Magical",IF(G89="blocking","Anti-Physical",IF(G89="warding","Anti-Magical","Physical"))))</f>
        <v/>
      </c>
      <c r="S89" t="n">
        <v>3</v>
      </c>
      <c r="T89" t="inlineStr">
        <is>
          <t>Used to craft tier 0 Woodworking bows and staves.</t>
        </is>
      </c>
      <c r="U89" t="inlineStr">
        <is>
          <t>Straight and forgiving. Most first bows are cut from hedgewood, and most survive their owner's mistakes.</t>
        </is>
      </c>
      <c r="X89" t="inlineStr">
        <is>
          <t>wood0</t>
        </is>
      </c>
      <c r="Y89" t="inlineStr">
        <is>
          <t>https://drive.google.com/uc?export=download&amp;id=1HS8JjBf8q8PjZCBHnWaQfCg1_weDEYGL</t>
        </is>
      </c>
    </row>
    <row r="90">
      <c r="A90" t="inlineStr">
        <is>
          <t>IT89</t>
        </is>
      </c>
      <c r="B90" t="inlineStr">
        <is>
          <t>item_template</t>
        </is>
      </c>
      <c r="C90" t="inlineStr">
        <is>
          <t>tile</t>
        </is>
      </c>
      <c r="D90" t="inlineStr">
        <is>
          <t>forestry</t>
        </is>
      </c>
      <c r="E90" t="inlineStr">
        <is>
          <t>Primewood</t>
        </is>
      </c>
      <c r="F90" t="inlineStr">
        <is>
          <t>goods</t>
        </is>
      </c>
      <c r="G90" t="inlineStr">
        <is>
          <t>material</t>
        </is>
      </c>
      <c r="H90" t="inlineStr">
        <is>
          <t>wood</t>
        </is>
      </c>
      <c r="I90" t="inlineStr">
        <is>
          <t>1</t>
        </is>
      </c>
      <c r="J90">
        <f>IF(G90="","",IFERROR(IF(G90="infusing",IFERROR(LOOKUP(2,1/ISNUMBER(SEARCH(_lookup!$D$3:$D$4,H90)),_lookup!$E$3:$E$4),"INT"),VLOOKUP(G90,_lookup!$A$3:$B$14,2,FALSE)),""))</f>
        <v/>
      </c>
      <c r="K90">
        <f>IF(F90&lt;&gt;"weapon","",IF(G90="miscellaneous","1-4",IF(I90="","",IFERROR(VLOOKUP(I90&amp;"|"&amp;IF(LEFT(H90,2)="2H",2,1)&amp;"|"&amp;IF(G90="slashing",1,0),_lookup!$G$3:$H$18,2,FALSE),""))))</f>
        <v/>
      </c>
      <c r="L90">
        <f>IF(K90="","",IF(OR(G90="channeling",G90="infusing"),"Magical",IF(G90="blocking","Anti-Physical",IF(G90="warding","Anti-Magical","Physical"))))</f>
        <v/>
      </c>
      <c r="O90">
        <f>IF(F90&lt;&gt;"armor","","TBD")</f>
        <v/>
      </c>
      <c r="P90">
        <f>IF(O90="","",IF(OR(G90="channeling",G90="infusing"),"Magical",IF(G90="blocking","Anti-Physical",IF(G90="warding","Anti-Magical","Physical"))))</f>
        <v/>
      </c>
      <c r="S90" t="n">
        <v>9</v>
      </c>
      <c r="T90" t="inlineStr">
        <is>
          <t>Used to craft tier 1 Woodworking bows and staves.</t>
        </is>
      </c>
      <c r="U90" t="inlineStr">
        <is>
          <t>Grown above the snowline, with the cold still in the grain. A primewood staff stays cool in the hand through a long volley.</t>
        </is>
      </c>
      <c r="X90" t="inlineStr">
        <is>
          <t>wood1</t>
        </is>
      </c>
      <c r="Y90" t="inlineStr">
        <is>
          <t>https://drive.google.com/uc?export=download&amp;id=1e1oieVOQhyjOQVqsAeVujPO4KX55JVc9</t>
        </is>
      </c>
    </row>
    <row r="91">
      <c r="A91" t="inlineStr">
        <is>
          <t>IT90</t>
        </is>
      </c>
      <c r="B91" t="inlineStr">
        <is>
          <t>item_template</t>
        </is>
      </c>
      <c r="C91" t="inlineStr">
        <is>
          <t>tile</t>
        </is>
      </c>
      <c r="D91" t="inlineStr">
        <is>
          <t>forestry</t>
        </is>
      </c>
      <c r="E91" t="inlineStr">
        <is>
          <t>Nightgrain</t>
        </is>
      </c>
      <c r="F91" t="inlineStr">
        <is>
          <t>goods</t>
        </is>
      </c>
      <c r="G91" t="inlineStr">
        <is>
          <t>material</t>
        </is>
      </c>
      <c r="H91" t="inlineStr">
        <is>
          <t>wood</t>
        </is>
      </c>
      <c r="I91" t="inlineStr">
        <is>
          <t>2</t>
        </is>
      </c>
      <c r="J91">
        <f>IF(G91="","",IFERROR(IF(G91="infusing",IFERROR(LOOKUP(2,1/ISNUMBER(SEARCH(_lookup!$D$3:$D$4,H91)),_lookup!$E$3:$E$4),"INT"),VLOOKUP(G91,_lookup!$A$3:$B$14,2,FALSE)),""))</f>
        <v/>
      </c>
      <c r="K91">
        <f>IF(F91&lt;&gt;"weapon","",IF(G91="miscellaneous","1-4",IF(I91="","",IFERROR(VLOOKUP(I91&amp;"|"&amp;IF(LEFT(H91,2)="2H",2,1)&amp;"|"&amp;IF(G91="slashing",1,0),_lookup!$G$3:$H$18,2,FALSE),""))))</f>
        <v/>
      </c>
      <c r="L91">
        <f>IF(K91="","",IF(OR(G91="channeling",G91="infusing"),"Magical",IF(G91="blocking","Anti-Physical",IF(G91="warding","Anti-Magical","Physical"))))</f>
        <v/>
      </c>
      <c r="O91">
        <f>IF(F91&lt;&gt;"armor","","TBD")</f>
        <v/>
      </c>
      <c r="P91">
        <f>IF(O91="","",IF(OR(G91="channeling",G91="infusing"),"Magical",IF(G91="blocking","Anti-Physical",IF(G91="warding","Anti-Magical","Physical"))))</f>
        <v/>
      </c>
      <c r="S91" t="n">
        <v>36</v>
      </c>
      <c r="T91" t="inlineStr">
        <is>
          <t>Used to craft tier 2 Woodworking bows and staves.</t>
        </is>
      </c>
      <c r="U91" t="inlineStr">
        <is>
          <t>Its rings run dark as dusk and faintly warm. Elite archers swear a gloomwood bow draws itself the last inch.</t>
        </is>
      </c>
      <c r="X91" t="inlineStr">
        <is>
          <t>wood2</t>
        </is>
      </c>
      <c r="Y91" t="inlineStr">
        <is>
          <t>https://drive.google.com/uc?export=download&amp;id=126hBghKT11yb27xIbtb5EXfoK5RoxuCz</t>
        </is>
      </c>
    </row>
    <row r="92">
      <c r="A92" t="inlineStr">
        <is>
          <t>IT91</t>
        </is>
      </c>
      <c r="B92" t="inlineStr">
        <is>
          <t>item_template</t>
        </is>
      </c>
      <c r="C92" t="inlineStr">
        <is>
          <t>tile</t>
        </is>
      </c>
      <c r="D92" t="inlineStr">
        <is>
          <t>forestry</t>
        </is>
      </c>
      <c r="E92" t="inlineStr">
        <is>
          <t>Emberbark</t>
        </is>
      </c>
      <c r="F92" t="inlineStr">
        <is>
          <t>goods</t>
        </is>
      </c>
      <c r="G92" t="inlineStr">
        <is>
          <t>material</t>
        </is>
      </c>
      <c r="H92" t="inlineStr">
        <is>
          <t>wood</t>
        </is>
      </c>
      <c r="I92" t="inlineStr">
        <is>
          <t>3</t>
        </is>
      </c>
      <c r="J92">
        <f>IF(G92="","",IFERROR(IF(G92="infusing",IFERROR(LOOKUP(2,1/ISNUMBER(SEARCH(_lookup!$D$3:$D$4,H92)),_lookup!$E$3:$E$4),"INT"),VLOOKUP(G92,_lookup!$A$3:$B$14,2,FALSE)),""))</f>
        <v/>
      </c>
      <c r="K92">
        <f>IF(F92&lt;&gt;"weapon","",IF(G92="miscellaneous","1-4",IF(I92="","",IFERROR(VLOOKUP(I92&amp;"|"&amp;IF(LEFT(H92,2)="2H",2,1)&amp;"|"&amp;IF(G92="slashing",1,0),_lookup!$G$3:$H$18,2,FALSE),""))))</f>
        <v/>
      </c>
      <c r="L92">
        <f>IF(K92="","",IF(OR(G92="channeling",G92="infusing"),"Magical",IF(G92="blocking","Anti-Physical",IF(G92="warding","Anti-Magical","Physical"))))</f>
        <v/>
      </c>
      <c r="O92">
        <f>IF(F92&lt;&gt;"armor","","TBD")</f>
        <v/>
      </c>
      <c r="P92">
        <f>IF(O92="","",IF(OR(G92="channeling",G92="infusing"),"Magical",IF(G92="blocking","Anti-Physical",IF(G92="warding","Anti-Magical","Physical"))))</f>
        <v/>
      </c>
      <c r="S92" t="n">
        <v>100</v>
      </c>
      <c r="T92" t="inlineStr">
        <is>
          <t>Used to craft tier 3 Woodworking bows and staves.</t>
        </is>
      </c>
      <c r="U92" t="inlineStr">
        <is>
          <t>Cut once, from a tree that never stopped smoldering. The staff carved from its heart still glows above the throne.</t>
        </is>
      </c>
      <c r="X92" t="inlineStr">
        <is>
          <t>wood3</t>
        </is>
      </c>
      <c r="Y92" t="inlineStr">
        <is>
          <t>https://drive.google.com/uc?export=download&amp;id=1YcMVI2orWydsSY0Y6lIseuVhwq5yVe4N</t>
        </is>
      </c>
    </row>
    <row r="93">
      <c r="A93" t="inlineStr">
        <is>
          <t>IT92</t>
        </is>
      </c>
      <c r="B93" t="inlineStr">
        <is>
          <t>item_template</t>
        </is>
      </c>
      <c r="C93" t="inlineStr">
        <is>
          <t>tile</t>
        </is>
      </c>
      <c r="D93" t="inlineStr">
        <is>
          <t>hunting</t>
        </is>
      </c>
      <c r="E93" t="inlineStr">
        <is>
          <t>Weevil Plate</t>
        </is>
      </c>
      <c r="F93" t="inlineStr">
        <is>
          <t>goods</t>
        </is>
      </c>
      <c r="G93" t="inlineStr">
        <is>
          <t>material</t>
        </is>
      </c>
      <c r="H93" t="inlineStr">
        <is>
          <t>chitin</t>
        </is>
      </c>
      <c r="I93" t="inlineStr">
        <is>
          <t>0</t>
        </is>
      </c>
      <c r="J93">
        <f>IF(G93="","",IFERROR(IF(G93="infusing",IFERROR(LOOKUP(2,1/ISNUMBER(SEARCH(_lookup!$D$3:$D$4,H93)),_lookup!$E$3:$E$4),"INT"),VLOOKUP(G93,_lookup!$A$3:$B$14,2,FALSE)),""))</f>
        <v/>
      </c>
      <c r="K93">
        <f>IF(F93&lt;&gt;"weapon","",IF(G93="miscellaneous","1-4",IF(I93="","",IFERROR(VLOOKUP(I93&amp;"|"&amp;IF(LEFT(H93,2)="2H",2,1)&amp;"|"&amp;IF(G93="slashing",1,0),_lookup!$G$3:$H$18,2,FALSE),""))))</f>
        <v/>
      </c>
      <c r="L93">
        <f>IF(K93="","",IF(OR(G93="channeling",G93="infusing"),"Magical",IF(G93="blocking","Anti-Physical",IF(G93="warding","Anti-Magical","Physical"))))</f>
        <v/>
      </c>
      <c r="O93">
        <f>IF(F93&lt;&gt;"armor","","TBD")</f>
        <v/>
      </c>
      <c r="P93">
        <f>IF(O93="","",IF(OR(G93="channeling",G93="infusing"),"Magical",IF(G93="blocking","Anti-Physical",IF(G93="warding","Anti-Magical","Physical"))))</f>
        <v/>
      </c>
      <c r="S93" t="n">
        <v>3</v>
      </c>
      <c r="T93" t="inlineStr">
        <is>
          <t>Used to craft tier 0 Leatherworking repair kits.</t>
        </is>
      </c>
      <c r="U93" t="inlineStr">
        <is>
          <t>Every farmstead has a crate of these behind the door. Lash one over a split seam and get back to work.</t>
        </is>
      </c>
      <c r="X93" t="inlineStr">
        <is>
          <t>chitin0</t>
        </is>
      </c>
      <c r="Y93" t="inlineStr">
        <is>
          <t>https://drive.google.com/uc?export=download&amp;id=1D_IuSpscx-dOF77oa_Kvi5KqpsUkgjrZ</t>
        </is>
      </c>
    </row>
    <row r="94">
      <c r="A94" t="inlineStr">
        <is>
          <t>IT93</t>
        </is>
      </c>
      <c r="B94" t="inlineStr">
        <is>
          <t>item_template</t>
        </is>
      </c>
      <c r="C94" t="inlineStr">
        <is>
          <t>tile</t>
        </is>
      </c>
      <c r="D94" t="inlineStr">
        <is>
          <t>hunting</t>
        </is>
      </c>
      <c r="E94" t="inlineStr">
        <is>
          <t>Stagplate</t>
        </is>
      </c>
      <c r="F94" t="inlineStr">
        <is>
          <t>goods</t>
        </is>
      </c>
      <c r="G94" t="inlineStr">
        <is>
          <t>material</t>
        </is>
      </c>
      <c r="H94" t="inlineStr">
        <is>
          <t>chitin</t>
        </is>
      </c>
      <c r="I94" t="inlineStr">
        <is>
          <t>1</t>
        </is>
      </c>
      <c r="J94">
        <f>IF(G94="","",IFERROR(IF(G94="infusing",IFERROR(LOOKUP(2,1/ISNUMBER(SEARCH(_lookup!$D$3:$D$4,H94)),_lookup!$E$3:$E$4),"INT"),VLOOKUP(G94,_lookup!$A$3:$B$14,2,FALSE)),""))</f>
        <v/>
      </c>
      <c r="K94">
        <f>IF(F94&lt;&gt;"weapon","",IF(G94="miscellaneous","1-4",IF(I94="","",IFERROR(VLOOKUP(I94&amp;"|"&amp;IF(LEFT(H94,2)="2H",2,1)&amp;"|"&amp;IF(G94="slashing",1,0),_lookup!$G$3:$H$18,2,FALSE),""))))</f>
        <v/>
      </c>
      <c r="L94">
        <f>IF(K94="","",IF(OR(G94="channeling",G94="infusing"),"Magical",IF(G94="blocking","Anti-Physical",IF(G94="warding","Anti-Magical","Physical"))))</f>
        <v/>
      </c>
      <c r="O94">
        <f>IF(F94&lt;&gt;"armor","","TBD")</f>
        <v/>
      </c>
      <c r="P94">
        <f>IF(O94="","",IF(OR(G94="channeling",G94="infusing"),"Magical",IF(G94="blocking","Anti-Physical",IF(G94="warding","Anti-Magical","Physical"))))</f>
        <v/>
      </c>
      <c r="S94" t="n">
        <v>9</v>
      </c>
      <c r="T94" t="inlineStr">
        <is>
          <t>Used to craft tier 1 Leatherworking repair kits.</t>
        </is>
      </c>
      <c r="U94" t="inlineStr">
        <is>
          <t>Pried from the stag beetles that hunt the border roads. Garrison menders carry a satchel to every skirmish.</t>
        </is>
      </c>
      <c r="X94" t="inlineStr">
        <is>
          <t>chitin1</t>
        </is>
      </c>
      <c r="Y94" t="inlineStr">
        <is>
          <t>https://drive.google.com/uc?export=download&amp;id=1pDvXJEp14inAsY76W2UxPLsARHb__3HU</t>
        </is>
      </c>
    </row>
    <row r="95">
      <c r="A95" t="inlineStr">
        <is>
          <t>IT94</t>
        </is>
      </c>
      <c r="B95" t="inlineStr">
        <is>
          <t>item_template</t>
        </is>
      </c>
      <c r="C95" t="inlineStr">
        <is>
          <t>tile</t>
        </is>
      </c>
      <c r="D95" t="inlineStr">
        <is>
          <t>hunting</t>
        </is>
      </c>
      <c r="E95" t="inlineStr">
        <is>
          <t>Moonscarab Shell</t>
        </is>
      </c>
      <c r="F95" t="inlineStr">
        <is>
          <t>goods</t>
        </is>
      </c>
      <c r="G95" t="inlineStr">
        <is>
          <t>material</t>
        </is>
      </c>
      <c r="H95" t="inlineStr">
        <is>
          <t>chitin</t>
        </is>
      </c>
      <c r="I95" t="inlineStr">
        <is>
          <t>2</t>
        </is>
      </c>
      <c r="J95">
        <f>IF(G95="","",IFERROR(IF(G95="infusing",IFERROR(LOOKUP(2,1/ISNUMBER(SEARCH(_lookup!$D$3:$D$4,H95)),_lookup!$E$3:$E$4),"INT"),VLOOKUP(G95,_lookup!$A$3:$B$14,2,FALSE)),""))</f>
        <v/>
      </c>
      <c r="K95">
        <f>IF(F95&lt;&gt;"weapon","",IF(G95="miscellaneous","1-4",IF(I95="","",IFERROR(VLOOKUP(I95&amp;"|"&amp;IF(LEFT(H95,2)="2H",2,1)&amp;"|"&amp;IF(G95="slashing",1,0),_lookup!$G$3:$H$18,2,FALSE),""))))</f>
        <v/>
      </c>
      <c r="L95">
        <f>IF(K95="","",IF(OR(G95="channeling",G95="infusing"),"Magical",IF(G95="blocking","Anti-Physical",IF(G95="warding","Anti-Magical","Physical"))))</f>
        <v/>
      </c>
      <c r="O95">
        <f>IF(F95&lt;&gt;"armor","","TBD")</f>
        <v/>
      </c>
      <c r="P95">
        <f>IF(O95="","",IF(OR(G95="channeling",G95="infusing"),"Magical",IF(G95="blocking","Anti-Physical",IF(G95="warding","Anti-Magical","Physical"))))</f>
        <v/>
      </c>
      <c r="S95" t="n">
        <v>36</v>
      </c>
      <c r="T95" t="inlineStr">
        <is>
          <t>Used to craft tier 2 Leatherworking repair kits.</t>
        </is>
      </c>
      <c r="U95" t="inlineStr">
        <is>
          <t>The crescents only show under lamplight. Royal armorers keep these locked away and sign for every plate.</t>
        </is>
      </c>
      <c r="X95" t="inlineStr">
        <is>
          <t>chitin2</t>
        </is>
      </c>
      <c r="Y95" t="inlineStr">
        <is>
          <t>https://drive.google.com/uc?export=download&amp;id=18BZdTre0TyfCHqJdcxBji8cQZ-2GziXN</t>
        </is>
      </c>
    </row>
    <row r="96">
      <c r="A96" t="inlineStr">
        <is>
          <t>IT95</t>
        </is>
      </c>
      <c r="B96" t="inlineStr">
        <is>
          <t>item_template</t>
        </is>
      </c>
      <c r="C96" t="inlineStr">
        <is>
          <t>tile</t>
        </is>
      </c>
      <c r="D96" t="inlineStr">
        <is>
          <t>hunting</t>
        </is>
      </c>
      <c r="E96" t="inlineStr">
        <is>
          <t>Pale Mantis Scale</t>
        </is>
      </c>
      <c r="F96" t="inlineStr">
        <is>
          <t>goods</t>
        </is>
      </c>
      <c r="G96" t="inlineStr">
        <is>
          <t>material</t>
        </is>
      </c>
      <c r="H96" t="inlineStr">
        <is>
          <t>chitin</t>
        </is>
      </c>
      <c r="I96" t="inlineStr">
        <is>
          <t>3</t>
        </is>
      </c>
      <c r="J96">
        <f>IF(G96="","",IFERROR(IF(G96="infusing",IFERROR(LOOKUP(2,1/ISNUMBER(SEARCH(_lookup!$D$3:$D$4,H96)),_lookup!$E$3:$E$4),"INT"),VLOOKUP(G96,_lookup!$A$3:$B$14,2,FALSE)),""))</f>
        <v/>
      </c>
      <c r="K96">
        <f>IF(F96&lt;&gt;"weapon","",IF(G96="miscellaneous","1-4",IF(I96="","",IFERROR(VLOOKUP(I96&amp;"|"&amp;IF(LEFT(H96,2)="2H",2,1)&amp;"|"&amp;IF(G96="slashing",1,0),_lookup!$G$3:$H$18,2,FALSE),""))))</f>
        <v/>
      </c>
      <c r="L96">
        <f>IF(K96="","",IF(OR(G96="channeling",G96="infusing"),"Magical",IF(G96="blocking","Anti-Physical",IF(G96="warding","Anti-Magical","Physical"))))</f>
        <v/>
      </c>
      <c r="O96">
        <f>IF(F96&lt;&gt;"armor","","TBD")</f>
        <v/>
      </c>
      <c r="P96">
        <f>IF(O96="","",IF(OR(G96="channeling",G96="infusing"),"Magical",IF(G96="blocking","Anti-Physical",IF(G96="warding","Anti-Magical","Physical"))))</f>
        <v/>
      </c>
      <c r="S96" t="n">
        <v>100</v>
      </c>
      <c r="T96" t="inlineStr">
        <is>
          <t>Used to craft tier 3 Leatherworking repair kits.</t>
        </is>
      </c>
      <c r="U96" t="inlineStr">
        <is>
          <t>Taken from the white mantis of the high ridge. Mend a breastplate with one scale and the dent forgets it was there.</t>
        </is>
      </c>
      <c r="X96" t="inlineStr">
        <is>
          <t>chitin3</t>
        </is>
      </c>
      <c r="Y96" t="inlineStr">
        <is>
          <t>https://drive.google.com/uc?export=download&amp;id=1g2J-mwS40Tv-F3TCiSPPAmRa1feznvE-</t>
        </is>
      </c>
    </row>
    <row r="97">
      <c r="A97" t="inlineStr">
        <is>
          <t>IT96</t>
        </is>
      </c>
      <c r="B97" t="inlineStr">
        <is>
          <t>item_template</t>
        </is>
      </c>
      <c r="C97" t="inlineStr">
        <is>
          <t>tile</t>
        </is>
      </c>
      <c r="D97" t="inlineStr">
        <is>
          <t>hunting</t>
        </is>
      </c>
      <c r="E97" t="inlineStr">
        <is>
          <t>Caterpillar Down</t>
        </is>
      </c>
      <c r="F97" t="inlineStr">
        <is>
          <t>goods</t>
        </is>
      </c>
      <c r="G97" t="inlineStr">
        <is>
          <t>material</t>
        </is>
      </c>
      <c r="H97" t="inlineStr">
        <is>
          <t>hide</t>
        </is>
      </c>
      <c r="I97" t="inlineStr">
        <is>
          <t>0</t>
        </is>
      </c>
      <c r="J97">
        <f>IF(G97="","",IFERROR(IF(G97="infusing",IFERROR(LOOKUP(2,1/ISNUMBER(SEARCH(_lookup!$D$3:$D$4,H97)),_lookup!$E$3:$E$4),"INT"),VLOOKUP(G97,_lookup!$A$3:$B$14,2,FALSE)),""))</f>
        <v/>
      </c>
      <c r="K97">
        <f>IF(F97&lt;&gt;"weapon","",IF(G97="miscellaneous","1-4",IF(I97="","",IFERROR(VLOOKUP(I97&amp;"|"&amp;IF(LEFT(H97,2)="2H",2,1)&amp;"|"&amp;IF(G97="slashing",1,0),_lookup!$G$3:$H$18,2,FALSE),""))))</f>
        <v/>
      </c>
      <c r="L97">
        <f>IF(K97="","",IF(OR(G97="channeling",G97="infusing"),"Magical",IF(G97="blocking","Anti-Physical",IF(G97="warding","Anti-Magical","Physical"))))</f>
        <v/>
      </c>
      <c r="O97">
        <f>IF(F97&lt;&gt;"armor","","TBD")</f>
        <v/>
      </c>
      <c r="P97">
        <f>IF(O97="","",IF(OR(G97="channeling",G97="infusing"),"Magical",IF(G97="blocking","Anti-Physical",IF(G97="warding","Anti-Magical","Physical"))))</f>
        <v/>
      </c>
      <c r="S97" t="n">
        <v>3</v>
      </c>
      <c r="T97" t="inlineStr">
        <is>
          <t>Used to craft tier 0 Leatherworking armor padding.</t>
        </is>
      </c>
      <c r="U97" t="inlineStr">
        <is>
          <t>Swept off fence posts every spring. Stitched into a coat lining, it makes a cold march merely unpleasant.</t>
        </is>
      </c>
      <c r="X97" t="inlineStr">
        <is>
          <t>hide0</t>
        </is>
      </c>
      <c r="Y97" t="inlineStr">
        <is>
          <t>https://drive.google.com/uc?export=download&amp;id=1XHFpBfgij6X1uMVCE397OlT-peDbSPsu</t>
        </is>
      </c>
    </row>
    <row r="98">
      <c r="A98" t="inlineStr">
        <is>
          <t>IT97</t>
        </is>
      </c>
      <c r="B98" t="inlineStr">
        <is>
          <t>item_template</t>
        </is>
      </c>
      <c r="C98" t="inlineStr">
        <is>
          <t>tile</t>
        </is>
      </c>
      <c r="D98" t="inlineStr">
        <is>
          <t>hunting</t>
        </is>
      </c>
      <c r="E98" t="inlineStr">
        <is>
          <t>Goldmoth Pelt</t>
        </is>
      </c>
      <c r="F98" t="inlineStr">
        <is>
          <t>goods</t>
        </is>
      </c>
      <c r="G98" t="inlineStr">
        <is>
          <t>material</t>
        </is>
      </c>
      <c r="H98" t="inlineStr">
        <is>
          <t>hide</t>
        </is>
      </c>
      <c r="I98" t="inlineStr">
        <is>
          <t>1</t>
        </is>
      </c>
      <c r="J98">
        <f>IF(G98="","",IFERROR(IF(G98="infusing",IFERROR(LOOKUP(2,1/ISNUMBER(SEARCH(_lookup!$D$3:$D$4,H98)),_lookup!$E$3:$E$4),"INT"),VLOOKUP(G98,_lookup!$A$3:$B$14,2,FALSE)),""))</f>
        <v/>
      </c>
      <c r="K98">
        <f>IF(F98&lt;&gt;"weapon","",IF(G98="miscellaneous","1-4",IF(I98="","",IFERROR(VLOOKUP(I98&amp;"|"&amp;IF(LEFT(H98,2)="2H",2,1)&amp;"|"&amp;IF(G98="slashing",1,0),_lookup!$G$3:$H$18,2,FALSE),""))))</f>
        <v/>
      </c>
      <c r="L98">
        <f>IF(K98="","",IF(OR(G98="channeling",G98="infusing"),"Magical",IF(G98="blocking","Anti-Physical",IF(G98="warding","Anti-Magical","Physical"))))</f>
        <v/>
      </c>
      <c r="O98">
        <f>IF(F98&lt;&gt;"armor","","TBD")</f>
        <v/>
      </c>
      <c r="P98">
        <f>IF(O98="","",IF(OR(G98="channeling",G98="infusing"),"Magical",IF(G98="blocking","Anti-Physical",IF(G98="warding","Anti-Magical","Physical"))))</f>
        <v/>
      </c>
      <c r="S98" t="n">
        <v>9</v>
      </c>
      <c r="T98" t="inlineStr">
        <is>
          <t>Used to craft tier 1 Leatherworking armor padding.</t>
        </is>
      </c>
      <c r="U98" t="inlineStr">
        <is>
          <t>Thick enough to blunt a stray arrow. Every regiment's quilter knows how many pelts a company needs.</t>
        </is>
      </c>
      <c r="X98" t="inlineStr">
        <is>
          <t>hide1</t>
        </is>
      </c>
      <c r="Y98" t="inlineStr">
        <is>
          <t>https://drive.google.com/uc?export=download&amp;id=1aCStbWZ3FJXDHW501xiBilETdma0QxTe</t>
        </is>
      </c>
    </row>
    <row r="99">
      <c r="A99" t="inlineStr">
        <is>
          <t>IT98</t>
        </is>
      </c>
      <c r="B99" t="inlineStr">
        <is>
          <t>item_template</t>
        </is>
      </c>
      <c r="C99" t="inlineStr">
        <is>
          <t>tile</t>
        </is>
      </c>
      <c r="D99" t="inlineStr">
        <is>
          <t>hunting</t>
        </is>
      </c>
      <c r="E99" t="inlineStr">
        <is>
          <t>Bearspider Ruff</t>
        </is>
      </c>
      <c r="F99" t="inlineStr">
        <is>
          <t>goods</t>
        </is>
      </c>
      <c r="G99" t="inlineStr">
        <is>
          <t>material</t>
        </is>
      </c>
      <c r="H99" t="inlineStr">
        <is>
          <t>hide</t>
        </is>
      </c>
      <c r="I99" t="inlineStr">
        <is>
          <t>2</t>
        </is>
      </c>
      <c r="J99">
        <f>IF(G99="","",IFERROR(IF(G99="infusing",IFERROR(LOOKUP(2,1/ISNUMBER(SEARCH(_lookup!$D$3:$D$4,H99)),_lookup!$E$3:$E$4),"INT"),VLOOKUP(G99,_lookup!$A$3:$B$14,2,FALSE)),""))</f>
        <v/>
      </c>
      <c r="K99">
        <f>IF(F99&lt;&gt;"weapon","",IF(G99="miscellaneous","1-4",IF(I99="","",IFERROR(VLOOKUP(I99&amp;"|"&amp;IF(LEFT(H99,2)="2H",2,1)&amp;"|"&amp;IF(G99="slashing",1,0),_lookup!$G$3:$H$18,2,FALSE),""))))</f>
        <v/>
      </c>
      <c r="L99">
        <f>IF(K99="","",IF(OR(G99="channeling",G99="infusing"),"Magical",IF(G99="blocking","Anti-Physical",IF(G99="warding","Anti-Magical","Physical"))))</f>
        <v/>
      </c>
      <c r="O99">
        <f>IF(F99&lt;&gt;"armor","","TBD")</f>
        <v/>
      </c>
      <c r="P99">
        <f>IF(O99="","",IF(OR(G99="channeling",G99="infusing"),"Magical",IF(G99="blocking","Anti-Physical",IF(G99="warding","Anti-Magical","Physical"))))</f>
        <v/>
      </c>
      <c r="S99" t="n">
        <v>36</v>
      </c>
      <c r="T99" t="inlineStr">
        <is>
          <t>Used to craft tier 2 Leatherworking armor padding.</t>
        </is>
      </c>
      <c r="U99" t="inlineStr">
        <is>
          <t>The bristles still stiffen when danger is near. Guard captains wear it under their plate and sleep in it on campaign.</t>
        </is>
      </c>
      <c r="X99" t="inlineStr">
        <is>
          <t>hide2</t>
        </is>
      </c>
      <c r="Y99" t="inlineStr">
        <is>
          <t>https://drive.google.com/uc?export=download&amp;id=1UcVPZhcbR9WPwYu4wYh2PlhXjpAiZnFW</t>
        </is>
      </c>
    </row>
    <row r="100">
      <c r="A100" t="inlineStr">
        <is>
          <t>IT99</t>
        </is>
      </c>
      <c r="B100" t="inlineStr">
        <is>
          <t>item_template</t>
        </is>
      </c>
      <c r="C100" t="inlineStr">
        <is>
          <t>tile</t>
        </is>
      </c>
      <c r="D100" t="inlineStr">
        <is>
          <t>hunting</t>
        </is>
      </c>
      <c r="E100" t="inlineStr">
        <is>
          <t>Ashwing Mantle</t>
        </is>
      </c>
      <c r="F100" t="inlineStr">
        <is>
          <t>goods</t>
        </is>
      </c>
      <c r="G100" t="inlineStr">
        <is>
          <t>material</t>
        </is>
      </c>
      <c r="H100" t="inlineStr">
        <is>
          <t>hide</t>
        </is>
      </c>
      <c r="I100" t="inlineStr">
        <is>
          <t>3</t>
        </is>
      </c>
      <c r="J100">
        <f>IF(G100="","",IFERROR(IF(G100="infusing",IFERROR(LOOKUP(2,1/ISNUMBER(SEARCH(_lookup!$D$3:$D$4,H100)),_lookup!$E$3:$E$4),"INT"),VLOOKUP(G100,_lookup!$A$3:$B$14,2,FALSE)),""))</f>
        <v/>
      </c>
      <c r="K100">
        <f>IF(F100&lt;&gt;"weapon","",IF(G100="miscellaneous","1-4",IF(I100="","",IFERROR(VLOOKUP(I100&amp;"|"&amp;IF(LEFT(H100,2)="2H",2,1)&amp;"|"&amp;IF(G100="slashing",1,0),_lookup!$G$3:$H$18,2,FALSE),""))))</f>
        <v/>
      </c>
      <c r="L100">
        <f>IF(K100="","",IF(OR(G100="channeling",G100="infusing"),"Magical",IF(G100="blocking","Anti-Physical",IF(G100="warding","Anti-Magical","Physical"))))</f>
        <v/>
      </c>
      <c r="O100">
        <f>IF(F100&lt;&gt;"armor","","TBD")</f>
        <v/>
      </c>
      <c r="P100">
        <f>IF(O100="","",IF(OR(G100="channeling",G100="infusing"),"Magical",IF(G100="blocking","Anti-Physical",IF(G100="warding","Anti-Magical","Physical"))))</f>
        <v/>
      </c>
      <c r="S100" t="n">
        <v>100</v>
      </c>
      <c r="T100" t="inlineStr">
        <is>
          <t>Used to craft tier 3 Leatherworking armor padding.</t>
        </is>
      </c>
      <c r="U100" t="inlineStr">
        <is>
          <t>Shed by the great moth that circled the burning of Thornwall for three nights. It is still warm.</t>
        </is>
      </c>
      <c r="X100" t="inlineStr">
        <is>
          <t>hide3</t>
        </is>
      </c>
      <c r="Y100" t="inlineStr">
        <is>
          <t>https://drive.google.com/uc?export=download&amp;id=1p9abk4N2P888Sex6vGeHaFRiwa2kcBGD</t>
        </is>
      </c>
    </row>
    <row r="101">
      <c r="A101" t="inlineStr">
        <is>
          <t>IT100</t>
        </is>
      </c>
      <c r="B101" t="inlineStr">
        <is>
          <t>item_template</t>
        </is>
      </c>
      <c r="C101" t="inlineStr">
        <is>
          <t>tile</t>
        </is>
      </c>
      <c r="D101" t="inlineStr">
        <is>
          <t>hunting</t>
        </is>
      </c>
      <c r="E101" t="inlineStr">
        <is>
          <t>Butchering Knife</t>
        </is>
      </c>
      <c r="F101" t="inlineStr">
        <is>
          <t>weapon</t>
        </is>
      </c>
      <c r="G101" t="inlineStr">
        <is>
          <t>miscellaneous</t>
        </is>
      </c>
      <c r="H101" t="inlineStr">
        <is>
          <t>1H</t>
        </is>
      </c>
      <c r="I101" t="inlineStr">
        <is>
          <t>0</t>
        </is>
      </c>
      <c r="J101">
        <f>IF(G101="","",IFERROR(IF(G101="infusing",IFERROR(LOOKUP(2,1/ISNUMBER(SEARCH(_lookup!$D$3:$D$4,H101)),_lookup!$E$3:$E$4),"INT"),VLOOKUP(G101,_lookup!$A$3:$B$14,2,FALSE)),""))</f>
        <v/>
      </c>
      <c r="K101">
        <f>IF(F101&lt;&gt;"weapon","",IF(G101="miscellaneous","1-4",IF(I101="","",IFERROR(VLOOKUP(I101&amp;"|"&amp;IF(LEFT(H101,2)="2H",2,1)&amp;"|"&amp;IF(G101="slashing",1,0),_lookup!$G$3:$H$18,2,FALSE),""))))</f>
        <v/>
      </c>
      <c r="L101">
        <f>IF(K101="","",IF(OR(G101="channeling",G101="infusing"),"Magical",IF(G101="blocking","Anti-Physical",IF(G101="warding","Anti-Magical","Physical"))))</f>
        <v/>
      </c>
      <c r="O101">
        <f>IF(F101&lt;&gt;"armor","","TBD")</f>
        <v/>
      </c>
      <c r="P101">
        <f>IF(O101="","",IF(OR(G101="channeling",G101="infusing"),"Magical",IF(G101="blocking","Anti-Physical",IF(G101="warding","Anti-Magical","Physical"))))</f>
        <v/>
      </c>
      <c r="S101" t="n">
        <v>12</v>
      </c>
      <c r="T101" t="inlineStr">
        <is>
          <t>Doubles the loot of level 0 Hunting. This does not stack.</t>
        </is>
      </c>
      <c r="U101" t="inlineStr">
        <is>
          <t>Plain and sharp. A clean cut means no trader can call your goods spoiled and pay you half.</t>
        </is>
      </c>
      <c r="X101" t="inlineStr">
        <is>
          <t>dmg:1-4|Physical|miscellaneous</t>
        </is>
      </c>
      <c r="Y101" t="inlineStr">
        <is>
          <t>https://drive.google.com/uc?export=download&amp;id=1t71RdLek3bffE1XzdXWQGN4LZ9UK76f7</t>
        </is>
      </c>
    </row>
    <row r="102">
      <c r="A102" t="inlineStr">
        <is>
          <t>IT101</t>
        </is>
      </c>
      <c r="B102" t="inlineStr">
        <is>
          <t>item_template</t>
        </is>
      </c>
      <c r="C102" t="inlineStr">
        <is>
          <t>tile</t>
        </is>
      </c>
      <c r="D102" t="inlineStr">
        <is>
          <t>hunting</t>
        </is>
      </c>
      <c r="E102" t="inlineStr">
        <is>
          <t>Sturdy Butchering Knife</t>
        </is>
      </c>
      <c r="F102" t="inlineStr">
        <is>
          <t>weapon</t>
        </is>
      </c>
      <c r="G102" t="inlineStr">
        <is>
          <t>miscellaneous</t>
        </is>
      </c>
      <c r="H102" t="inlineStr">
        <is>
          <t>1H</t>
        </is>
      </c>
      <c r="I102" t="inlineStr">
        <is>
          <t>1</t>
        </is>
      </c>
      <c r="J102">
        <f>IF(G102="","",IFERROR(IF(G102="infusing",IFERROR(LOOKUP(2,1/ISNUMBER(SEARCH(_lookup!$D$3:$D$4,H102)),_lookup!$E$3:$E$4),"INT"),VLOOKUP(G102,_lookup!$A$3:$B$14,2,FALSE)),""))</f>
        <v/>
      </c>
      <c r="K102">
        <f>IF(F102&lt;&gt;"weapon","",IF(G102="miscellaneous","1-4",IF(I102="","",IFERROR(VLOOKUP(I102&amp;"|"&amp;IF(LEFT(H102,2)="2H",2,1)&amp;"|"&amp;IF(G102="slashing",1,0),_lookup!$G$3:$H$18,2,FALSE),""))))</f>
        <v/>
      </c>
      <c r="L102">
        <f>IF(K102="","",IF(OR(G102="channeling",G102="infusing"),"Magical",IF(G102="blocking","Anti-Physical",IF(G102="warding","Anti-Magical","Physical"))))</f>
        <v/>
      </c>
      <c r="O102">
        <f>IF(F102&lt;&gt;"armor","","TBD")</f>
        <v/>
      </c>
      <c r="P102">
        <f>IF(O102="","",IF(OR(G102="channeling",G102="infusing"),"Magical",IF(G102="blocking","Anti-Physical",IF(G102="warding","Anti-Magical","Physical"))))</f>
        <v/>
      </c>
      <c r="S102" t="n">
        <v>36</v>
      </c>
      <c r="T102" t="inlineStr">
        <is>
          <t>Doubles the loot of level 0 or 1 Hunting. This does not stack.</t>
        </is>
      </c>
      <c r="U102" t="inlineStr">
        <is>
          <t>Issued by the hunting lodge with a hunter's first license. It finds the cuts most hunters leave behind.</t>
        </is>
      </c>
      <c r="X102" t="inlineStr">
        <is>
          <t>dmg:1-4|Physical|miscellaneous</t>
        </is>
      </c>
      <c r="Y102" t="inlineStr">
        <is>
          <t>https://drive.google.com/uc?export=download&amp;id=1MBEMxSZfyD0VKsx2pilB6ljroyxKkqeP</t>
        </is>
      </c>
    </row>
    <row r="103">
      <c r="A103" t="inlineStr">
        <is>
          <t>IT102</t>
        </is>
      </c>
      <c r="B103" t="inlineStr">
        <is>
          <t>item_template</t>
        </is>
      </c>
      <c r="C103" t="inlineStr">
        <is>
          <t>tile</t>
        </is>
      </c>
      <c r="D103" t="inlineStr">
        <is>
          <t>hunting</t>
        </is>
      </c>
      <c r="E103" t="inlineStr">
        <is>
          <t>Steel Butchering Knife</t>
        </is>
      </c>
      <c r="F103" t="inlineStr">
        <is>
          <t>weapon</t>
        </is>
      </c>
      <c r="G103" t="inlineStr">
        <is>
          <t>miscellaneous</t>
        </is>
      </c>
      <c r="H103" t="inlineStr">
        <is>
          <t>1H</t>
        </is>
      </c>
      <c r="I103" t="inlineStr">
        <is>
          <t>2</t>
        </is>
      </c>
      <c r="J103">
        <f>IF(G103="","",IFERROR(IF(G103="infusing",IFERROR(LOOKUP(2,1/ISNUMBER(SEARCH(_lookup!$D$3:$D$4,H103)),_lookup!$E$3:$E$4),"INT"),VLOOKUP(G103,_lookup!$A$3:$B$14,2,FALSE)),""))</f>
        <v/>
      </c>
      <c r="K103">
        <f>IF(F103&lt;&gt;"weapon","",IF(G103="miscellaneous","1-4",IF(I103="","",IFERROR(VLOOKUP(I103&amp;"|"&amp;IF(LEFT(H103,2)="2H",2,1)&amp;"|"&amp;IF(G103="slashing",1,0),_lookup!$G$3:$H$18,2,FALSE),""))))</f>
        <v/>
      </c>
      <c r="L103">
        <f>IF(K103="","",IF(OR(G103="channeling",G103="infusing"),"Magical",IF(G103="blocking","Anti-Physical",IF(G103="warding","Anti-Magical","Physical"))))</f>
        <v/>
      </c>
      <c r="O103">
        <f>IF(F103&lt;&gt;"armor","","TBD")</f>
        <v/>
      </c>
      <c r="P103">
        <f>IF(O103="","",IF(OR(G103="channeling",G103="infusing"),"Magical",IF(G103="blocking","Anti-Physical",IF(G103="warding","Anti-Magical","Physical"))))</f>
        <v/>
      </c>
      <c r="S103" t="n">
        <v>144</v>
      </c>
      <c r="T103" t="inlineStr">
        <is>
          <t>Doubles the loot of level 0, 1, or 2 Hunting. This does not stack.</t>
        </is>
      </c>
      <c r="U103" t="inlineStr">
        <is>
          <t>Folded steel, kept in oil. Its owner can take a stag beetle apart at the joints and waste nothing but the noise.</t>
        </is>
      </c>
      <c r="X103" t="inlineStr">
        <is>
          <t>dmg:1-4|Physical|miscellaneous</t>
        </is>
      </c>
      <c r="Y103" t="inlineStr">
        <is>
          <t>https://drive.google.com/uc?export=download&amp;id=1vUeHu4MpuHO_7DO2S2JcXevXntAjGtWs</t>
        </is>
      </c>
    </row>
    <row r="104">
      <c r="A104" t="inlineStr">
        <is>
          <t>IT103</t>
        </is>
      </c>
      <c r="B104" t="inlineStr">
        <is>
          <t>item_template</t>
        </is>
      </c>
      <c r="C104" t="inlineStr">
        <is>
          <t>tile</t>
        </is>
      </c>
      <c r="D104" t="inlineStr">
        <is>
          <t>hunting</t>
        </is>
      </c>
      <c r="E104" t="inlineStr">
        <is>
          <t>Grubhide</t>
        </is>
      </c>
      <c r="F104" t="inlineStr">
        <is>
          <t>goods</t>
        </is>
      </c>
      <c r="G104" t="inlineStr">
        <is>
          <t>material</t>
        </is>
      </c>
      <c r="H104" t="inlineStr">
        <is>
          <t>leather</t>
        </is>
      </c>
      <c r="I104" t="inlineStr">
        <is>
          <t>0</t>
        </is>
      </c>
      <c r="J104">
        <f>IF(G104="","",IFERROR(IF(G104="infusing",IFERROR(LOOKUP(2,1/ISNUMBER(SEARCH(_lookup!$D$3:$D$4,H104)),_lookup!$E$3:$E$4),"INT"),VLOOKUP(G104,_lookup!$A$3:$B$14,2,FALSE)),""))</f>
        <v/>
      </c>
      <c r="K104">
        <f>IF(F104&lt;&gt;"weapon","",IF(G104="miscellaneous","1-4",IF(I104="","",IFERROR(VLOOKUP(I104&amp;"|"&amp;IF(LEFT(H104,2)="2H",2,1)&amp;"|"&amp;IF(G104="slashing",1,0),_lookup!$G$3:$H$18,2,FALSE),""))))</f>
        <v/>
      </c>
      <c r="L104">
        <f>IF(K104="","",IF(OR(G104="channeling",G104="infusing"),"Magical",IF(G104="blocking","Anti-Physical",IF(G104="warding","Anti-Magical","Physical"))))</f>
        <v/>
      </c>
      <c r="O104">
        <f>IF(F104&lt;&gt;"armor","","TBD")</f>
        <v/>
      </c>
      <c r="P104">
        <f>IF(O104="","",IF(OR(G104="channeling",G104="infusing"),"Magical",IF(G104="blocking","Anti-Physical",IF(G104="warding","Anti-Magical","Physical"))))</f>
        <v/>
      </c>
      <c r="S104" t="n">
        <v>3</v>
      </c>
      <c r="T104" t="inlineStr">
        <is>
          <t>Used to craft tier 0 Leatherworking medium armor.</t>
        </is>
      </c>
      <c r="U104" t="inlineStr">
        <is>
          <t>Soft and cheap. Half the aprons and trapping vests in the woodland come from the same few tanneries.</t>
        </is>
      </c>
      <c r="X104" t="inlineStr">
        <is>
          <t>leather0</t>
        </is>
      </c>
      <c r="Y104" t="inlineStr">
        <is>
          <t>https://drive.google.com/uc?export=download&amp;id=12Bpuug9wJN7hVXxFHBGJX8_530onOM1b</t>
        </is>
      </c>
    </row>
    <row r="105">
      <c r="A105" t="inlineStr">
        <is>
          <t>IT104</t>
        </is>
      </c>
      <c r="B105" t="inlineStr">
        <is>
          <t>item_template</t>
        </is>
      </c>
      <c r="C105" t="inlineStr">
        <is>
          <t>tile</t>
        </is>
      </c>
      <c r="D105" t="inlineStr">
        <is>
          <t>hunting</t>
        </is>
      </c>
      <c r="E105" t="inlineStr">
        <is>
          <t>Cricketskin</t>
        </is>
      </c>
      <c r="F105" t="inlineStr">
        <is>
          <t>goods</t>
        </is>
      </c>
      <c r="G105" t="inlineStr">
        <is>
          <t>material</t>
        </is>
      </c>
      <c r="H105" t="inlineStr">
        <is>
          <t>leather</t>
        </is>
      </c>
      <c r="I105" t="inlineStr">
        <is>
          <t>1</t>
        </is>
      </c>
      <c r="J105">
        <f>IF(G105="","",IFERROR(IF(G105="infusing",IFERROR(LOOKUP(2,1/ISNUMBER(SEARCH(_lookup!$D$3:$D$4,H105)),_lookup!$E$3:$E$4),"INT"),VLOOKUP(G105,_lookup!$A$3:$B$14,2,FALSE)),""))</f>
        <v/>
      </c>
      <c r="K105">
        <f>IF(F105&lt;&gt;"weapon","",IF(G105="miscellaneous","1-4",IF(I105="","",IFERROR(VLOOKUP(I105&amp;"|"&amp;IF(LEFT(H105,2)="2H",2,1)&amp;"|"&amp;IF(G105="slashing",1,0),_lookup!$G$3:$H$18,2,FALSE),""))))</f>
        <v/>
      </c>
      <c r="L105">
        <f>IF(K105="","",IF(OR(G105="channeling",G105="infusing"),"Magical",IF(G105="blocking","Anti-Physical",IF(G105="warding","Anti-Magical","Physical"))))</f>
        <v/>
      </c>
      <c r="O105">
        <f>IF(F105&lt;&gt;"armor","","TBD")</f>
        <v/>
      </c>
      <c r="P105">
        <f>IF(O105="","",IF(OR(G105="channeling",G105="infusing"),"Magical",IF(G105="blocking","Anti-Physical",IF(G105="warding","Anti-Magical","Physical"))))</f>
        <v/>
      </c>
      <c r="S105" t="n">
        <v>9</v>
      </c>
      <c r="T105" t="inlineStr">
        <is>
          <t>Used to craft tier 1 Leatherworking medium armor.</t>
        </is>
      </c>
      <c r="U105" t="inlineStr">
        <is>
          <t>Cricketskin still chirps when it flexes, so scouts rub it with fat. Standard issue for companies that march light.</t>
        </is>
      </c>
      <c r="X105" t="inlineStr">
        <is>
          <t>leather1</t>
        </is>
      </c>
      <c r="Y105" t="inlineStr">
        <is>
          <t>https://drive.google.com/uc?export=download&amp;id=1peoBaRN221ITJrhE5UVSEYDycTtX5LPs</t>
        </is>
      </c>
    </row>
    <row r="106">
      <c r="A106" t="inlineStr">
        <is>
          <t>IT105</t>
        </is>
      </c>
      <c r="B106" t="inlineStr">
        <is>
          <t>item_template</t>
        </is>
      </c>
      <c r="C106" t="inlineStr">
        <is>
          <t>tile</t>
        </is>
      </c>
      <c r="D106" t="inlineStr">
        <is>
          <t>hunting</t>
        </is>
      </c>
      <c r="E106" t="inlineStr">
        <is>
          <t>Lanternwing Leather</t>
        </is>
      </c>
      <c r="F106" t="inlineStr">
        <is>
          <t>goods</t>
        </is>
      </c>
      <c r="G106" t="inlineStr">
        <is>
          <t>material</t>
        </is>
      </c>
      <c r="H106" t="inlineStr">
        <is>
          <t>leather</t>
        </is>
      </c>
      <c r="I106" t="inlineStr">
        <is>
          <t>2</t>
        </is>
      </c>
      <c r="J106">
        <f>IF(G106="","",IFERROR(IF(G106="infusing",IFERROR(LOOKUP(2,1/ISNUMBER(SEARCH(_lookup!$D$3:$D$4,H106)),_lookup!$E$3:$E$4),"INT"),VLOOKUP(G106,_lookup!$A$3:$B$14,2,FALSE)),""))</f>
        <v/>
      </c>
      <c r="K106">
        <f>IF(F106&lt;&gt;"weapon","",IF(G106="miscellaneous","1-4",IF(I106="","",IFERROR(VLOOKUP(I106&amp;"|"&amp;IF(LEFT(H106,2)="2H",2,1)&amp;"|"&amp;IF(G106="slashing",1,0),_lookup!$G$3:$H$18,2,FALSE),""))))</f>
        <v/>
      </c>
      <c r="L106">
        <f>IF(K106="","",IF(OR(G106="channeling",G106="infusing"),"Magical",IF(G106="blocking","Anti-Physical",IF(G106="warding","Anti-Magical","Physical"))))</f>
        <v/>
      </c>
      <c r="O106">
        <f>IF(F106&lt;&gt;"armor","","TBD")</f>
        <v/>
      </c>
      <c r="P106">
        <f>IF(O106="","",IF(OR(G106="channeling",G106="infusing"),"Magical",IF(G106="blocking","Anti-Physical",IF(G106="warding","Anti-Magical","Physical"))))</f>
        <v/>
      </c>
      <c r="S106" t="n">
        <v>36</v>
      </c>
      <c r="T106" t="inlineStr">
        <is>
          <t>Used to craft tier 2 Leatherworking medium armor.</t>
        </is>
      </c>
      <c r="U106" t="inlineStr">
        <is>
          <t>Faint light lingers in the grain after dusk. Night wardens wear it because spells slide off like rain.</t>
        </is>
      </c>
      <c r="X106" t="inlineStr">
        <is>
          <t>leather2</t>
        </is>
      </c>
      <c r="Y106" t="inlineStr">
        <is>
          <t>https://drive.google.com/uc?export=download&amp;id=1CqbEwjPlka-e_xhigtJ-Q1mp2EXhhb94</t>
        </is>
      </c>
    </row>
    <row r="107">
      <c r="A107" t="inlineStr">
        <is>
          <t>IT106</t>
        </is>
      </c>
      <c r="B107" t="inlineStr">
        <is>
          <t>item_template</t>
        </is>
      </c>
      <c r="C107" t="inlineStr">
        <is>
          <t>tile</t>
        </is>
      </c>
      <c r="D107" t="inlineStr">
        <is>
          <t>hunting</t>
        </is>
      </c>
      <c r="E107" t="inlineStr">
        <is>
          <t>Sunmantis Vellum</t>
        </is>
      </c>
      <c r="F107" t="inlineStr">
        <is>
          <t>goods</t>
        </is>
      </c>
      <c r="G107" t="inlineStr">
        <is>
          <t>material</t>
        </is>
      </c>
      <c r="H107" t="inlineStr">
        <is>
          <t>leather</t>
        </is>
      </c>
      <c r="I107" t="inlineStr">
        <is>
          <t>3</t>
        </is>
      </c>
      <c r="J107">
        <f>IF(G107="","",IFERROR(IF(G107="infusing",IFERROR(LOOKUP(2,1/ISNUMBER(SEARCH(_lookup!$D$3:$D$4,H107)),_lookup!$E$3:$E$4),"INT"),VLOOKUP(G107,_lookup!$A$3:$B$14,2,FALSE)),""))</f>
        <v/>
      </c>
      <c r="K107">
        <f>IF(F107&lt;&gt;"weapon","",IF(G107="miscellaneous","1-4",IF(I107="","",IFERROR(VLOOKUP(I107&amp;"|"&amp;IF(LEFT(H107,2)="2H",2,1)&amp;"|"&amp;IF(G107="slashing",1,0),_lookup!$G$3:$H$18,2,FALSE),""))))</f>
        <v/>
      </c>
      <c r="L107">
        <f>IF(K107="","",IF(OR(G107="channeling",G107="infusing"),"Magical",IF(G107="blocking","Anti-Physical",IF(G107="warding","Anti-Magical","Physical"))))</f>
        <v/>
      </c>
      <c r="O107">
        <f>IF(F107&lt;&gt;"armor","","TBD")</f>
        <v/>
      </c>
      <c r="P107">
        <f>IF(O107="","",IF(OR(G107="channeling",G107="infusing"),"Magical",IF(G107="blocking","Anti-Physical",IF(G107="warding","Anti-Magical","Physical"))))</f>
        <v/>
      </c>
      <c r="S107" t="n">
        <v>100</v>
      </c>
      <c r="T107" t="inlineStr">
        <is>
          <t>Used to craft tier 3 Leatherworking medium armor.</t>
        </is>
      </c>
      <c r="U107" t="inlineStr">
        <is>
          <t>Thin as a page and harder than a shield. Only one tannery knows the cure, and it answers to the throne alone.</t>
        </is>
      </c>
      <c r="X107" t="inlineStr">
        <is>
          <t>leather3</t>
        </is>
      </c>
      <c r="Y107" t="inlineStr">
        <is>
          <t>https://drive.google.com/uc?export=download&amp;id=1Rk436Lud2VBKoWVHQ3iuyNMvtmbsBuLI</t>
        </is>
      </c>
    </row>
    <row r="108">
      <c r="A108" t="inlineStr">
        <is>
          <t>IT107</t>
        </is>
      </c>
      <c r="B108" t="inlineStr">
        <is>
          <t>item_template</t>
        </is>
      </c>
      <c r="C108" t="inlineStr">
        <is>
          <t>tile</t>
        </is>
      </c>
      <c r="D108" t="inlineStr">
        <is>
          <t>hunting</t>
        </is>
      </c>
      <c r="E108" t="inlineStr">
        <is>
          <t>Grub Flank</t>
        </is>
      </c>
      <c r="F108" t="inlineStr">
        <is>
          <t>goods</t>
        </is>
      </c>
      <c r="G108" t="inlineStr">
        <is>
          <t>material</t>
        </is>
      </c>
      <c r="H108" t="inlineStr">
        <is>
          <t>meat</t>
        </is>
      </c>
      <c r="I108" t="inlineStr">
        <is>
          <t>0</t>
        </is>
      </c>
      <c r="J108">
        <f>IF(G108="","",IFERROR(IF(G108="infusing",IFERROR(LOOKUP(2,1/ISNUMBER(SEARCH(_lookup!$D$3:$D$4,H108)),_lookup!$E$3:$E$4),"INT"),VLOOKUP(G108,_lookup!$A$3:$B$14,2,FALSE)),""))</f>
        <v/>
      </c>
      <c r="K108">
        <f>IF(F108&lt;&gt;"weapon","",IF(G108="miscellaneous","1-4",IF(I108="","",IFERROR(VLOOKUP(I108&amp;"|"&amp;IF(LEFT(H108,2)="2H",2,1)&amp;"|"&amp;IF(G108="slashing",1,0),_lookup!$G$3:$H$18,2,FALSE),""))))</f>
        <v/>
      </c>
      <c r="L108">
        <f>IF(K108="","",IF(OR(G108="channeling",G108="infusing"),"Magical",IF(G108="blocking","Anti-Physical",IF(G108="warding","Anti-Magical","Physical"))))</f>
        <v/>
      </c>
      <c r="O108">
        <f>IF(F108&lt;&gt;"armor","","TBD")</f>
        <v/>
      </c>
      <c r="P108">
        <f>IF(O108="","",IF(OR(G108="channeling",G108="infusing"),"Magical",IF(G108="blocking","Anti-Physical",IF(G108="warding","Anti-Magical","Physical"))))</f>
        <v/>
      </c>
      <c r="S108" t="n">
        <v>3</v>
      </c>
      <c r="T108" t="inlineStr">
        <is>
          <t>Used to craft tier 0 Survival foods.</t>
        </is>
      </c>
      <c r="U108" t="inlineStr">
        <is>
          <t>Fried in its own fat over any campfire. Nobody writes songs about it, and nobody turns it down.</t>
        </is>
      </c>
      <c r="X108" t="inlineStr">
        <is>
          <t>meat0</t>
        </is>
      </c>
      <c r="Y108" t="inlineStr">
        <is>
          <t>https://drive.google.com/uc?export=download&amp;id=1HePS8oEASvJ525kHpljj4JL7bKz9Hi-l</t>
        </is>
      </c>
    </row>
    <row r="109">
      <c r="A109" t="inlineStr">
        <is>
          <t>IT108</t>
        </is>
      </c>
      <c r="B109" t="inlineStr">
        <is>
          <t>item_template</t>
        </is>
      </c>
      <c r="C109" t="inlineStr">
        <is>
          <t>tile</t>
        </is>
      </c>
      <c r="D109" t="inlineStr">
        <is>
          <t>hunting</t>
        </is>
      </c>
      <c r="E109" t="inlineStr">
        <is>
          <t>Stagbeetle Cut</t>
        </is>
      </c>
      <c r="F109" t="inlineStr">
        <is>
          <t>goods</t>
        </is>
      </c>
      <c r="G109" t="inlineStr">
        <is>
          <t>material</t>
        </is>
      </c>
      <c r="H109" t="inlineStr">
        <is>
          <t>meat</t>
        </is>
      </c>
      <c r="I109" t="inlineStr">
        <is>
          <t>1</t>
        </is>
      </c>
      <c r="J109">
        <f>IF(G109="","",IFERROR(IF(G109="infusing",IFERROR(LOOKUP(2,1/ISNUMBER(SEARCH(_lookup!$D$3:$D$4,H109)),_lookup!$E$3:$E$4),"INT"),VLOOKUP(G109,_lookup!$A$3:$B$14,2,FALSE)),""))</f>
        <v/>
      </c>
      <c r="K109">
        <f>IF(F109&lt;&gt;"weapon","",IF(G109="miscellaneous","1-4",IF(I109="","",IFERROR(VLOOKUP(I109&amp;"|"&amp;IF(LEFT(H109,2)="2H",2,1)&amp;"|"&amp;IF(G109="slashing",1,0),_lookup!$G$3:$H$18,2,FALSE),""))))</f>
        <v/>
      </c>
      <c r="L109">
        <f>IF(K109="","",IF(OR(G109="channeling",G109="infusing"),"Magical",IF(G109="blocking","Anti-Physical",IF(G109="warding","Anti-Magical","Physical"))))</f>
        <v/>
      </c>
      <c r="O109">
        <f>IF(F109&lt;&gt;"armor","","TBD")</f>
        <v/>
      </c>
      <c r="P109">
        <f>IF(O109="","",IF(OR(G109="channeling",G109="infusing"),"Magical",IF(G109="blocking","Anti-Physical",IF(G109="warding","Anti-Magical","Physical"))))</f>
        <v/>
      </c>
      <c r="S109" t="n">
        <v>9</v>
      </c>
      <c r="T109" t="inlineStr">
        <is>
          <t>Used to craft tier 1 Survival foods.</t>
        </is>
      </c>
      <c r="U109" t="inlineStr">
        <is>
          <t>Lean and dark, with the hunt still in the taste. A company marches farther on stagbeetle stew.</t>
        </is>
      </c>
      <c r="X109" t="inlineStr">
        <is>
          <t>meat1</t>
        </is>
      </c>
      <c r="Y109" t="inlineStr">
        <is>
          <t>https://drive.google.com/uc?export=download&amp;id=1xZXkLurvXUcWCMi2b_GKkEg8j8yh0efP</t>
        </is>
      </c>
    </row>
    <row r="110">
      <c r="A110" t="inlineStr">
        <is>
          <t>IT109</t>
        </is>
      </c>
      <c r="B110" t="inlineStr">
        <is>
          <t>item_template</t>
        </is>
      </c>
      <c r="C110" t="inlineStr">
        <is>
          <t>tile</t>
        </is>
      </c>
      <c r="D110" t="inlineStr">
        <is>
          <t>hunting</t>
        </is>
      </c>
      <c r="E110" t="inlineStr">
        <is>
          <t>Spider Steak</t>
        </is>
      </c>
      <c r="F110" t="inlineStr">
        <is>
          <t>goods</t>
        </is>
      </c>
      <c r="G110" t="inlineStr">
        <is>
          <t>material</t>
        </is>
      </c>
      <c r="H110" t="inlineStr">
        <is>
          <t>meat</t>
        </is>
      </c>
      <c r="I110" t="inlineStr">
        <is>
          <t>2</t>
        </is>
      </c>
      <c r="J110">
        <f>IF(G110="","",IFERROR(IF(G110="infusing",IFERROR(LOOKUP(2,1/ISNUMBER(SEARCH(_lookup!$D$3:$D$4,H110)),_lookup!$E$3:$E$4),"INT"),VLOOKUP(G110,_lookup!$A$3:$B$14,2,FALSE)),""))</f>
        <v/>
      </c>
      <c r="K110">
        <f>IF(F110&lt;&gt;"weapon","",IF(G110="miscellaneous","1-4",IF(I110="","",IFERROR(VLOOKUP(I110&amp;"|"&amp;IF(LEFT(H110,2)="2H",2,1)&amp;"|"&amp;IF(G110="slashing",1,0),_lookup!$G$3:$H$18,2,FALSE),""))))</f>
        <v/>
      </c>
      <c r="L110">
        <f>IF(K110="","",IF(OR(G110="channeling",G110="infusing"),"Magical",IF(G110="blocking","Anti-Physical",IF(G110="warding","Anti-Magical","Physical"))))</f>
        <v/>
      </c>
      <c r="O110">
        <f>IF(F110&lt;&gt;"armor","","TBD")</f>
        <v/>
      </c>
      <c r="P110">
        <f>IF(O110="","",IF(OR(G110="channeling",G110="infusing"),"Magical",IF(G110="blocking","Anti-Physical",IF(G110="warding","Anti-Magical","Physical"))))</f>
        <v/>
      </c>
      <c r="S110" t="n">
        <v>36</v>
      </c>
      <c r="T110" t="inlineStr">
        <is>
          <t>Used to craft tier 2 Survival foods.</t>
        </is>
      </c>
      <c r="U110" t="inlineStr">
        <is>
          <t>Only the bravest hunters bring one home, and they never let you forget it. Served rare at feasts meant to impress.</t>
        </is>
      </c>
      <c r="X110" t="inlineStr">
        <is>
          <t>meat2</t>
        </is>
      </c>
      <c r="Y110" t="inlineStr">
        <is>
          <t>https://drive.google.com/uc?export=download&amp;id=1rJNVkBYt5P0kanfsR09xroZUcsVDoDR5</t>
        </is>
      </c>
    </row>
    <row r="111">
      <c r="A111" t="inlineStr">
        <is>
          <t>IT110</t>
        </is>
      </c>
      <c r="B111" t="inlineStr">
        <is>
          <t>item_template</t>
        </is>
      </c>
      <c r="C111" t="inlineStr">
        <is>
          <t>tile</t>
        </is>
      </c>
      <c r="D111" t="inlineStr">
        <is>
          <t>hunting</t>
        </is>
      </c>
      <c r="E111" t="inlineStr">
        <is>
          <t>Wyrmipede Mignon</t>
        </is>
      </c>
      <c r="F111" t="inlineStr">
        <is>
          <t>goods</t>
        </is>
      </c>
      <c r="G111" t="inlineStr">
        <is>
          <t>material</t>
        </is>
      </c>
      <c r="H111" t="inlineStr">
        <is>
          <t>meat</t>
        </is>
      </c>
      <c r="I111" t="inlineStr">
        <is>
          <t>3</t>
        </is>
      </c>
      <c r="J111">
        <f>IF(G111="","",IFERROR(IF(G111="infusing",IFERROR(LOOKUP(2,1/ISNUMBER(SEARCH(_lookup!$D$3:$D$4,H111)),_lookup!$E$3:$E$4),"INT"),VLOOKUP(G111,_lookup!$A$3:$B$14,2,FALSE)),""))</f>
        <v/>
      </c>
      <c r="K111">
        <f>IF(F111&lt;&gt;"weapon","",IF(G111="miscellaneous","1-4",IF(I111="","",IFERROR(VLOOKUP(I111&amp;"|"&amp;IF(LEFT(H111,2)="2H",2,1)&amp;"|"&amp;IF(G111="slashing",1,0),_lookup!$G$3:$H$18,2,FALSE),""))))</f>
        <v/>
      </c>
      <c r="L111">
        <f>IF(K111="","",IF(OR(G111="channeling",G111="infusing"),"Magical",IF(G111="blocking","Anti-Physical",IF(G111="warding","Anti-Magical","Physical"))))</f>
        <v/>
      </c>
      <c r="O111">
        <f>IF(F111&lt;&gt;"armor","","TBD")</f>
        <v/>
      </c>
      <c r="P111">
        <f>IF(O111="","",IF(OR(G111="channeling",G111="infusing"),"Magical",IF(G111="blocking","Anti-Physical",IF(G111="warding","Anti-Magical","Physical"))))</f>
        <v/>
      </c>
      <c r="S111" t="n">
        <v>100</v>
      </c>
      <c r="T111" t="inlineStr">
        <is>
          <t>Used to craft tier 3 Survival foods.</t>
        </is>
      </c>
      <c r="U111" t="inlineStr">
        <is>
          <t>One cut from a beast with a thousand legs and a hundred names. Eat it slowly. There will never be another.</t>
        </is>
      </c>
      <c r="X111" t="inlineStr">
        <is>
          <t>meat3</t>
        </is>
      </c>
      <c r="Y111" t="inlineStr">
        <is>
          <t>https://drive.google.com/uc?export=download&amp;id=18jj8dCxllBa1jE87OiG23gMJSw6aGUsz</t>
        </is>
      </c>
    </row>
    <row r="112">
      <c r="A112" t="inlineStr">
        <is>
          <t>IT111</t>
        </is>
      </c>
      <c r="B112" t="inlineStr">
        <is>
          <t>item_template</t>
        </is>
      </c>
      <c r="C112" t="inlineStr">
        <is>
          <t>tile</t>
        </is>
      </c>
      <c r="D112" t="inlineStr">
        <is>
          <t>wood</t>
        </is>
      </c>
      <c r="E112" t="inlineStr">
        <is>
          <t>Ferndye Oil</t>
        </is>
      </c>
      <c r="F112" t="inlineStr">
        <is>
          <t>consumable</t>
        </is>
      </c>
      <c r="G112" t="inlineStr">
        <is>
          <t>augment</t>
        </is>
      </c>
      <c r="I112" t="inlineStr">
        <is>
          <t>0</t>
        </is>
      </c>
      <c r="J112">
        <f>IF(G112="","",IFERROR(IF(G112="infusing",IFERROR(LOOKUP(2,1/ISNUMBER(SEARCH(_lookup!$D$3:$D$4,H112)),_lookup!$E$3:$E$4),"INT"),VLOOKUP(G112,_lookup!$A$3:$B$14,2,FALSE)),""))</f>
        <v/>
      </c>
      <c r="K112">
        <f>IF(F112&lt;&gt;"weapon","",IF(G112="miscellaneous","1-4",IF(I112="","",IFERROR(VLOOKUP(I112&amp;"|"&amp;IF(LEFT(H112,2)="2H",2,1)&amp;"|"&amp;IF(G112="slashing",1,0),_lookup!$G$3:$H$18,2,FALSE),""))))</f>
        <v/>
      </c>
      <c r="L112">
        <f>IF(K112="","",IF(OR(G112="channeling",G112="infusing"),"Magical",IF(G112="blocking","Anti-Physical",IF(G112="warding","Anti-Magical","Physical"))))</f>
        <v/>
      </c>
      <c r="O112">
        <f>IF(F112&lt;&gt;"armor","","TBD")</f>
        <v/>
      </c>
      <c r="P112">
        <f>IF(O112="","",IF(OR(G112="channeling",G112="infusing"),"Magical",IF(G112="blocking","Anti-Physical",IF(G112="warding","Anti-Magical","Physical"))))</f>
        <v/>
      </c>
      <c r="S112" t="n">
        <v>4</v>
      </c>
      <c r="T112" t="inlineStr">
        <is>
          <t>Used to augment tier 0 Projectile and Channeling weapons.</t>
        </is>
      </c>
      <c r="U112" t="inlineStr">
        <is>
          <t>Green and sticky and smelling of cut fern. Every hunter keeps a tin of it, and every hunter has rubbed it into a string in the dark by feel alone.</t>
        </is>
      </c>
      <c r="Y112" t="inlineStr">
        <is>
          <t>https://drive.google.com/uc?export=download&amp;id=1HAji_Zf7tSkPVlV6ACHmTX_OSzVIf2ww</t>
        </is>
      </c>
    </row>
    <row r="113">
      <c r="A113" t="inlineStr">
        <is>
          <t>IT112</t>
        </is>
      </c>
      <c r="B113" t="inlineStr">
        <is>
          <t>item_template</t>
        </is>
      </c>
      <c r="C113" t="inlineStr">
        <is>
          <t>tile</t>
        </is>
      </c>
      <c r="D113" t="inlineStr">
        <is>
          <t>wood</t>
        </is>
      </c>
      <c r="E113" t="inlineStr">
        <is>
          <t>Coldtear Oil</t>
        </is>
      </c>
      <c r="F113" t="inlineStr">
        <is>
          <t>consumable</t>
        </is>
      </c>
      <c r="G113" t="inlineStr">
        <is>
          <t>augment</t>
        </is>
      </c>
      <c r="I113" t="inlineStr">
        <is>
          <t>1</t>
        </is>
      </c>
      <c r="J113">
        <f>IF(G113="","",IFERROR(IF(G113="infusing",IFERROR(LOOKUP(2,1/ISNUMBER(SEARCH(_lookup!$D$3:$D$4,H113)),_lookup!$E$3:$E$4),"INT"),VLOOKUP(G113,_lookup!$A$3:$B$14,2,FALSE)),""))</f>
        <v/>
      </c>
      <c r="K113">
        <f>IF(F113&lt;&gt;"weapon","",IF(G113="miscellaneous","1-4",IF(I113="","",IFERROR(VLOOKUP(I113&amp;"|"&amp;IF(LEFT(H113,2)="2H",2,1)&amp;"|"&amp;IF(G113="slashing",1,0),_lookup!$G$3:$H$18,2,FALSE),""))))</f>
        <v/>
      </c>
      <c r="L113">
        <f>IF(K113="","",IF(OR(G113="channeling",G113="infusing"),"Magical",IF(G113="blocking","Anti-Physical",IF(G113="warding","Anti-Magical","Physical"))))</f>
        <v/>
      </c>
      <c r="O113">
        <f>IF(F113&lt;&gt;"armor","","TBD")</f>
        <v/>
      </c>
      <c r="P113">
        <f>IF(O113="","",IF(OR(G113="channeling",G113="infusing"),"Magical",IF(G113="blocking","Anti-Physical",IF(G113="warding","Anti-Magical","Physical"))))</f>
        <v/>
      </c>
      <c r="S113" t="n">
        <v>11</v>
      </c>
      <c r="T113" t="inlineStr">
        <is>
          <t>Used to augment tier 0 or 1 Projectile and Channeling weapons.</t>
        </is>
      </c>
      <c r="U113" t="inlineStr">
        <is>
          <t>Rendered down until it runs blue in the light. A quartermaster who lets the company run out of it hears about the first wet morning for the rest of the season.</t>
        </is>
      </c>
      <c r="Y113" t="inlineStr">
        <is>
          <t>https://drive.google.com/uc?export=download&amp;id=1wYM4wNIKJnsusvJrENlrr1z-ZiaSQo8I</t>
        </is>
      </c>
    </row>
    <row r="114">
      <c r="A114" t="inlineStr">
        <is>
          <t>IT113</t>
        </is>
      </c>
      <c r="B114" t="inlineStr">
        <is>
          <t>item_template</t>
        </is>
      </c>
      <c r="C114" t="inlineStr">
        <is>
          <t>tile</t>
        </is>
      </c>
      <c r="D114" t="inlineStr">
        <is>
          <t>wood</t>
        </is>
      </c>
      <c r="E114" t="inlineStr">
        <is>
          <t>Deepglow Oil</t>
        </is>
      </c>
      <c r="F114" t="inlineStr">
        <is>
          <t>consumable</t>
        </is>
      </c>
      <c r="G114" t="inlineStr">
        <is>
          <t>augment</t>
        </is>
      </c>
      <c r="I114" t="inlineStr">
        <is>
          <t>2</t>
        </is>
      </c>
      <c r="J114">
        <f>IF(G114="","",IFERROR(IF(G114="infusing",IFERROR(LOOKUP(2,1/ISNUMBER(SEARCH(_lookup!$D$3:$D$4,H114)),_lookup!$E$3:$E$4),"INT"),VLOOKUP(G114,_lookup!$A$3:$B$14,2,FALSE)),""))</f>
        <v/>
      </c>
      <c r="K114">
        <f>IF(F114&lt;&gt;"weapon","",IF(G114="miscellaneous","1-4",IF(I114="","",IFERROR(VLOOKUP(I114&amp;"|"&amp;IF(LEFT(H114,2)="2H",2,1)&amp;"|"&amp;IF(G114="slashing",1,0),_lookup!$G$3:$H$18,2,FALSE),""))))</f>
        <v/>
      </c>
      <c r="L114">
        <f>IF(K114="","",IF(OR(G114="channeling",G114="infusing"),"Magical",IF(G114="blocking","Anti-Physical",IF(G114="warding","Anti-Magical","Physical"))))</f>
        <v/>
      </c>
      <c r="O114">
        <f>IF(F114&lt;&gt;"armor","","TBD")</f>
        <v/>
      </c>
      <c r="P114">
        <f>IF(O114="","",IF(OR(G114="channeling",G114="infusing"),"Magical",IF(G114="blocking","Anti-Physical",IF(G114="warding","Anti-Magical","Physical"))))</f>
        <v/>
      </c>
      <c r="S114" t="n">
        <v>43</v>
      </c>
      <c r="T114" t="inlineStr">
        <is>
          <t>Used to augment tier 0, 1, or 2 Projectile and Channeling weapons.</t>
        </is>
      </c>
      <c r="U114" t="inlineStr">
        <is>
          <t>Gathered by moonlight a drop at a time, and worth every hour of it. A staff dressed with this carries further than its length has any right to.</t>
        </is>
      </c>
      <c r="Y114" t="inlineStr">
        <is>
          <t>https://drive.google.com/uc?export=download&amp;id=1bOu0KhO_oVGuEfiODJZ-of_ZqrUV_Pq9</t>
        </is>
      </c>
    </row>
    <row r="115">
      <c r="A115" t="inlineStr">
        <is>
          <t>IT114</t>
        </is>
      </c>
      <c r="B115" t="inlineStr">
        <is>
          <t>item_template</t>
        </is>
      </c>
      <c r="C115" t="inlineStr">
        <is>
          <t>tile</t>
        </is>
      </c>
      <c r="D115" t="inlineStr">
        <is>
          <t>wood</t>
        </is>
      </c>
      <c r="E115" t="inlineStr">
        <is>
          <t>Madderblood Oil</t>
        </is>
      </c>
      <c r="F115" t="inlineStr">
        <is>
          <t>consumable</t>
        </is>
      </c>
      <c r="G115" t="inlineStr">
        <is>
          <t>augment</t>
        </is>
      </c>
      <c r="I115" t="inlineStr">
        <is>
          <t>3</t>
        </is>
      </c>
      <c r="J115">
        <f>IF(G115="","",IFERROR(IF(G115="infusing",IFERROR(LOOKUP(2,1/ISNUMBER(SEARCH(_lookup!$D$3:$D$4,H115)),_lookup!$E$3:$E$4),"INT"),VLOOKUP(G115,_lookup!$A$3:$B$14,2,FALSE)),""))</f>
        <v/>
      </c>
      <c r="K115">
        <f>IF(F115&lt;&gt;"weapon","",IF(G115="miscellaneous","1-4",IF(I115="","",IFERROR(VLOOKUP(I115&amp;"|"&amp;IF(LEFT(H115,2)="2H",2,1)&amp;"|"&amp;IF(G115="slashing",1,0),_lookup!$G$3:$H$18,2,FALSE),""))))</f>
        <v/>
      </c>
      <c r="L115">
        <f>IF(K115="","",IF(OR(G115="channeling",G115="infusing"),"Magical",IF(G115="blocking","Anti-Physical",IF(G115="warding","Anti-Magical","Physical"))))</f>
        <v/>
      </c>
      <c r="O115">
        <f>IF(F115&lt;&gt;"armor","","TBD")</f>
        <v/>
      </c>
      <c r="P115">
        <f>IF(O115="","",IF(OR(G115="channeling",G115="infusing"),"Magical",IF(G115="blocking","Anti-Physical",IF(G115="warding","Anti-Magical","Physical"))))</f>
        <v/>
      </c>
      <c r="S115" t="n">
        <v>120</v>
      </c>
      <c r="T115" t="inlineStr">
        <is>
          <t>Used to augment tier 0, 1, 2, or 3 Projectile and Channeling weapons.</t>
        </is>
      </c>
      <c r="U115" t="inlineStr">
        <is>
          <t>Dark as old blood and twice as dear. One flask is a season's wages, and the animals who can afford it do not ask the price.</t>
        </is>
      </c>
      <c r="Y115" t="inlineStr">
        <is>
          <t>https://drive.google.com/uc?export=download&amp;id=11LDIEsC0_gAXzjIG4IdFhhTjL3D4GQpP</t>
        </is>
      </c>
    </row>
    <row r="116">
      <c r="A116" t="inlineStr">
        <is>
          <t>IT115</t>
        </is>
      </c>
      <c r="B116" t="inlineStr">
        <is>
          <t>item_template</t>
        </is>
      </c>
      <c r="C116" t="inlineStr">
        <is>
          <t>tile</t>
        </is>
      </c>
      <c r="D116" t="inlineStr">
        <is>
          <t>wood</t>
        </is>
      </c>
      <c r="E116" t="inlineStr">
        <is>
          <t>Hedgewood Latchbow</t>
        </is>
      </c>
      <c r="F116" t="inlineStr">
        <is>
          <t>weapon</t>
        </is>
      </c>
      <c r="G116" t="inlineStr">
        <is>
          <t>projectile</t>
        </is>
      </c>
      <c r="H116" t="inlineStr">
        <is>
          <t>1H Crossbow</t>
        </is>
      </c>
      <c r="I116" t="inlineStr">
        <is>
          <t>0</t>
        </is>
      </c>
      <c r="J116">
        <f>IF(G116="","",IFERROR(IF(G116="infusing",IFERROR(LOOKUP(2,1/ISNUMBER(SEARCH(_lookup!$D$3:$D$4,H116)),_lookup!$E$3:$E$4),"INT"),VLOOKUP(G116,_lookup!$A$3:$B$14,2,FALSE)),""))</f>
        <v/>
      </c>
      <c r="K116">
        <f>IF(F116&lt;&gt;"weapon","",IF(G116="miscellaneous","1-4",IF(I116="","",IFERROR(VLOOKUP(I116&amp;"|"&amp;IF(LEFT(H116,2)="2H",2,1)&amp;"|"&amp;IF(G116="slashing",1,0),_lookup!$G$3:$H$18,2,FALSE),""))))</f>
        <v/>
      </c>
      <c r="L116">
        <f>IF(K116="","",IF(OR(G116="channeling",G116="infusing"),"Magical",IF(G116="blocking","Anti-Physical",IF(G116="warding","Anti-Magical","Physical"))))</f>
        <v/>
      </c>
      <c r="O116">
        <f>IF(F116&lt;&gt;"armor","","TBD")</f>
        <v/>
      </c>
      <c r="P116">
        <f>IF(O116="","",IF(OR(G116="channeling",G116="infusing"),"Magical",IF(G116="blocking","Anti-Physical",IF(G116="warding","Anti-Magical","Physical"))))</f>
        <v/>
      </c>
      <c r="S116" t="n">
        <v>12</v>
      </c>
      <c r="T116" t="inlineStr">
        <is>
          <t>Ranged (attacks using this can target any Zone).</t>
        </is>
      </c>
      <c r="U116" t="inlineStr">
        <is>
          <t>A hedgewood stock with a latch filed out of a horseshoe nail. It shoots true enough at twenty paces and has armed more first seasons than anything else in the Woodland.</t>
        </is>
      </c>
      <c r="X116" t="inlineStr">
        <is>
          <t>dmg:1-6|Physical|projectile</t>
        </is>
      </c>
      <c r="Y116" t="inlineStr">
        <is>
          <t>https://drive.google.com/uc?export=download&amp;id=1Hp88JbWLMH3GxjtysjcopQKZ01UzRdPM</t>
        </is>
      </c>
    </row>
    <row r="117">
      <c r="A117" t="inlineStr">
        <is>
          <t>IT116</t>
        </is>
      </c>
      <c r="B117" t="inlineStr">
        <is>
          <t>item_template</t>
        </is>
      </c>
      <c r="C117" t="inlineStr">
        <is>
          <t>tile</t>
        </is>
      </c>
      <c r="D117" t="inlineStr">
        <is>
          <t>wood</t>
        </is>
      </c>
      <c r="E117" t="inlineStr">
        <is>
          <t>Lighter Wand</t>
        </is>
      </c>
      <c r="F117" t="inlineStr">
        <is>
          <t>weapon</t>
        </is>
      </c>
      <c r="G117" t="inlineStr">
        <is>
          <t>channeling</t>
        </is>
      </c>
      <c r="H117" t="inlineStr">
        <is>
          <t>1H Wand</t>
        </is>
      </c>
      <c r="I117" t="inlineStr">
        <is>
          <t>0</t>
        </is>
      </c>
      <c r="J117">
        <f>IF(G117="","",IFERROR(IF(G117="infusing",IFERROR(LOOKUP(2,1/ISNUMBER(SEARCH(_lookup!$D$3:$D$4,H117)),_lookup!$E$3:$E$4),"INT"),VLOOKUP(G117,_lookup!$A$3:$B$14,2,FALSE)),""))</f>
        <v/>
      </c>
      <c r="K117">
        <f>IF(F117&lt;&gt;"weapon","",IF(G117="miscellaneous","1-4",IF(I117="","",IFERROR(VLOOKUP(I117&amp;"|"&amp;IF(LEFT(H117,2)="2H",2,1)&amp;"|"&amp;IF(G117="slashing",1,0),_lookup!$G$3:$H$18,2,FALSE),""))))</f>
        <v/>
      </c>
      <c r="L117">
        <f>IF(K117="","",IF(OR(G117="channeling",G117="infusing"),"Magical",IF(G117="blocking","Anti-Physical",IF(G117="warding","Anti-Magical","Physical"))))</f>
        <v/>
      </c>
      <c r="O117">
        <f>IF(F117&lt;&gt;"armor","","TBD")</f>
        <v/>
      </c>
      <c r="P117">
        <f>IF(O117="","",IF(OR(G117="channeling",G117="infusing"),"Magical",IF(G117="blocking","Anti-Physical",IF(G117="warding","Anti-Magical","Physical"))))</f>
        <v/>
      </c>
      <c r="S117" t="n">
        <v>12</v>
      </c>
      <c r="T117" t="inlineStr">
        <is>
          <t>Ranged (attacks using this can target any Zone).</t>
        </is>
      </c>
      <c r="U117" t="inlineStr">
        <is>
          <t>A small, green power source set in a hedgewood grip, the kind a village craftsman cuts for a promising apprentice. It sparks more than it strikes, but it does strike.</t>
        </is>
      </c>
      <c r="X117" t="inlineStr">
        <is>
          <t>dmg:1-6|Magical|channeling</t>
        </is>
      </c>
      <c r="Y117" t="inlineStr">
        <is>
          <t>https://drive.google.com/uc?export=download&amp;id=1GqVyAUCzIA9hP63aCgNyHe8Rer4j0INk</t>
        </is>
      </c>
    </row>
    <row r="118">
      <c r="A118" t="inlineStr">
        <is>
          <t>IT117</t>
        </is>
      </c>
      <c r="B118" t="inlineStr">
        <is>
          <t>item_template</t>
        </is>
      </c>
      <c r="C118" t="inlineStr">
        <is>
          <t>tile</t>
        </is>
      </c>
      <c r="D118" t="inlineStr">
        <is>
          <t>wood</t>
        </is>
      </c>
      <c r="E118" t="inlineStr">
        <is>
          <t>Hedgewood Longbow</t>
        </is>
      </c>
      <c r="F118" t="inlineStr">
        <is>
          <t>weapon</t>
        </is>
      </c>
      <c r="G118" t="inlineStr">
        <is>
          <t>projectile</t>
        </is>
      </c>
      <c r="H118" t="inlineStr">
        <is>
          <t>2H Bow</t>
        </is>
      </c>
      <c r="I118" t="inlineStr">
        <is>
          <t>0</t>
        </is>
      </c>
      <c r="J118">
        <f>IF(G118="","",IFERROR(IF(G118="infusing",IFERROR(LOOKUP(2,1/ISNUMBER(SEARCH(_lookup!$D$3:$D$4,H118)),_lookup!$E$3:$E$4),"INT"),VLOOKUP(G118,_lookup!$A$3:$B$14,2,FALSE)),""))</f>
        <v/>
      </c>
      <c r="K118">
        <f>IF(F118&lt;&gt;"weapon","",IF(G118="miscellaneous","1-4",IF(I118="","",IFERROR(VLOOKUP(I118&amp;"|"&amp;IF(LEFT(H118,2)="2H",2,1)&amp;"|"&amp;IF(G118="slashing",1,0),_lookup!$G$3:$H$18,2,FALSE),""))))</f>
        <v/>
      </c>
      <c r="L118">
        <f>IF(K118="","",IF(OR(G118="channeling",G118="infusing"),"Magical",IF(G118="blocking","Anti-Physical",IF(G118="warding","Anti-Magical","Physical"))))</f>
        <v/>
      </c>
      <c r="O118">
        <f>IF(F118&lt;&gt;"armor","","TBD")</f>
        <v/>
      </c>
      <c r="P118">
        <f>IF(O118="","",IF(OR(G118="channeling",G118="infusing"),"Magical",IF(G118="blocking","Anti-Physical",IF(G118="warding","Anti-Magical","Physical"))))</f>
        <v/>
      </c>
      <c r="S118" t="n">
        <v>16</v>
      </c>
      <c r="T118" t="inlineStr">
        <is>
          <t>Ranged (attacks using this can target any Zone).</t>
        </is>
      </c>
      <c r="U118" t="inlineStr">
        <is>
          <t>Cut straight from the coppice stools and tillered by eye. Most first bows are hedgewood, and most of them outlast the animal who learned on them.</t>
        </is>
      </c>
      <c r="X118" t="inlineStr">
        <is>
          <t>dmg:2-12|Physical|projectile</t>
        </is>
      </c>
      <c r="Y118" t="inlineStr">
        <is>
          <t>https://drive.google.com/uc?export=download&amp;id=1NG8O3-DsAw7Ux-T2HgjRyiIBs9p5coZ-</t>
        </is>
      </c>
    </row>
    <row r="119">
      <c r="A119" t="inlineStr">
        <is>
          <t>IT118</t>
        </is>
      </c>
      <c r="B119" t="inlineStr">
        <is>
          <t>item_template</t>
        </is>
      </c>
      <c r="C119" t="inlineStr">
        <is>
          <t>tile</t>
        </is>
      </c>
      <c r="D119" t="inlineStr">
        <is>
          <t>wood</t>
        </is>
      </c>
      <c r="E119" t="inlineStr">
        <is>
          <t>Lighter Staff</t>
        </is>
      </c>
      <c r="F119" t="inlineStr">
        <is>
          <t>weapon</t>
        </is>
      </c>
      <c r="G119" t="inlineStr">
        <is>
          <t>channeling</t>
        </is>
      </c>
      <c r="H119" t="inlineStr">
        <is>
          <t>2H Staff</t>
        </is>
      </c>
      <c r="I119" t="inlineStr">
        <is>
          <t>0</t>
        </is>
      </c>
      <c r="J119">
        <f>IF(G119="","",IFERROR(IF(G119="infusing",IFERROR(LOOKUP(2,1/ISNUMBER(SEARCH(_lookup!$D$3:$D$4,H119)),_lookup!$E$3:$E$4),"INT"),VLOOKUP(G119,_lookup!$A$3:$B$14,2,FALSE)),""))</f>
        <v/>
      </c>
      <c r="K119">
        <f>IF(F119&lt;&gt;"weapon","",IF(G119="miscellaneous","1-4",IF(I119="","",IFERROR(VLOOKUP(I119&amp;"|"&amp;IF(LEFT(H119,2)="2H",2,1)&amp;"|"&amp;IF(G119="slashing",1,0),_lookup!$G$3:$H$18,2,FALSE),""))))</f>
        <v/>
      </c>
      <c r="L119">
        <f>IF(K119="","",IF(OR(G119="channeling",G119="infusing"),"Magical",IF(G119="blocking","Anti-Physical",IF(G119="warding","Anti-Magical","Physical"))))</f>
        <v/>
      </c>
      <c r="O119">
        <f>IF(F119&lt;&gt;"armor","","TBD")</f>
        <v/>
      </c>
      <c r="P119">
        <f>IF(O119="","",IF(OR(G119="channeling",G119="infusing"),"Magical",IF(G119="blocking","Anti-Physical",IF(G119="warding","Anti-Magical","Physical"))))</f>
        <v/>
      </c>
      <c r="S119" t="n">
        <v>16</v>
      </c>
      <c r="T119" t="inlineStr">
        <is>
          <t>Ranged (attacks using this can target any Zone).</t>
        </is>
      </c>
      <c r="U119" t="inlineStr">
        <is>
          <t>Hedgewood, crowned with green energy and nothing finer. It holds a charge about as long as a held breath, which is usually long enough.</t>
        </is>
      </c>
      <c r="X119" t="inlineStr">
        <is>
          <t>dmg:2-12|Magical|channeling</t>
        </is>
      </c>
      <c r="Y119" t="inlineStr">
        <is>
          <t>https://drive.google.com/uc?export=download&amp;id=1RqSwv6ddFNQRgiKlgChWKOunYiLB5YKm</t>
        </is>
      </c>
    </row>
    <row r="120">
      <c r="A120" t="inlineStr">
        <is>
          <t>IT119</t>
        </is>
      </c>
      <c r="B120" t="inlineStr">
        <is>
          <t>item_template</t>
        </is>
      </c>
      <c r="C120" t="inlineStr">
        <is>
          <t>tile</t>
        </is>
      </c>
      <c r="D120" t="inlineStr">
        <is>
          <t>wood</t>
        </is>
      </c>
      <c r="E120" t="inlineStr">
        <is>
          <t>Primewood Latchbow</t>
        </is>
      </c>
      <c r="F120" t="inlineStr">
        <is>
          <t>weapon</t>
        </is>
      </c>
      <c r="G120" t="inlineStr">
        <is>
          <t>projectile</t>
        </is>
      </c>
      <c r="H120" t="inlineStr">
        <is>
          <t>1H Crossbow</t>
        </is>
      </c>
      <c r="I120" t="inlineStr">
        <is>
          <t>1</t>
        </is>
      </c>
      <c r="J120">
        <f>IF(G120="","",IFERROR(IF(G120="infusing",IFERROR(LOOKUP(2,1/ISNUMBER(SEARCH(_lookup!$D$3:$D$4,H120)),_lookup!$E$3:$E$4),"INT"),VLOOKUP(G120,_lookup!$A$3:$B$14,2,FALSE)),""))</f>
        <v/>
      </c>
      <c r="K120">
        <f>IF(F120&lt;&gt;"weapon","",IF(G120="miscellaneous","1-4",IF(I120="","",IFERROR(VLOOKUP(I120&amp;"|"&amp;IF(LEFT(H120,2)="2H",2,1)&amp;"|"&amp;IF(G120="slashing",1,0),_lookup!$G$3:$H$18,2,FALSE),""))))</f>
        <v/>
      </c>
      <c r="L120">
        <f>IF(K120="","",IF(OR(G120="channeling",G120="infusing"),"Magical",IF(G120="blocking","Anti-Physical",IF(G120="warding","Anti-Magical","Physical"))))</f>
        <v/>
      </c>
      <c r="O120">
        <f>IF(F120&lt;&gt;"armor","","TBD")</f>
        <v/>
      </c>
      <c r="P120">
        <f>IF(O120="","",IF(OR(G120="channeling",G120="infusing"),"Magical",IF(G120="blocking","Anti-Physical",IF(G120="warding","Anti-Magical","Physical"))))</f>
        <v/>
      </c>
      <c r="S120" t="n">
        <v>36</v>
      </c>
      <c r="T120" t="inlineStr">
        <is>
          <t>Ranged (attacks using this can target any Zone).</t>
        </is>
      </c>
      <c r="U120" t="inlineStr">
        <is>
          <t>Primewood stock with sap still in the grain, issued by the armful to animals who will carry it through a winter campaign. The latch never swells.</t>
        </is>
      </c>
      <c r="X120" t="inlineStr">
        <is>
          <t>dmg:3-9|Physical|projectile</t>
        </is>
      </c>
      <c r="Y120" t="inlineStr">
        <is>
          <t>https://drive.google.com/uc?export=download&amp;id=1xS1f5J5pxX1Xj2T0I9WHT5maP3UpUuhI</t>
        </is>
      </c>
    </row>
    <row r="121">
      <c r="A121" t="inlineStr">
        <is>
          <t>IT120</t>
        </is>
      </c>
      <c r="B121" t="inlineStr">
        <is>
          <t>item_template</t>
        </is>
      </c>
      <c r="C121" t="inlineStr">
        <is>
          <t>tile</t>
        </is>
      </c>
      <c r="D121" t="inlineStr">
        <is>
          <t>wood</t>
        </is>
      </c>
      <c r="E121" t="inlineStr">
        <is>
          <t>Crystal Wand</t>
        </is>
      </c>
      <c r="F121" t="inlineStr">
        <is>
          <t>weapon</t>
        </is>
      </c>
      <c r="G121" t="inlineStr">
        <is>
          <t>channeling</t>
        </is>
      </c>
      <c r="H121" t="inlineStr">
        <is>
          <t>1H Wand</t>
        </is>
      </c>
      <c r="I121" t="inlineStr">
        <is>
          <t>1</t>
        </is>
      </c>
      <c r="J121">
        <f>IF(G121="","",IFERROR(IF(G121="infusing",IFERROR(LOOKUP(2,1/ISNUMBER(SEARCH(_lookup!$D$3:$D$4,H121)),_lookup!$E$3:$E$4),"INT"),VLOOKUP(G121,_lookup!$A$3:$B$14,2,FALSE)),""))</f>
        <v/>
      </c>
      <c r="K121">
        <f>IF(F121&lt;&gt;"weapon","",IF(G121="miscellaneous","1-4",IF(I121="","",IFERROR(VLOOKUP(I121&amp;"|"&amp;IF(LEFT(H121,2)="2H",2,1)&amp;"|"&amp;IF(G121="slashing",1,0),_lookup!$G$3:$H$18,2,FALSE),""))))</f>
        <v/>
      </c>
      <c r="L121">
        <f>IF(K121="","",IF(OR(G121="channeling",G121="infusing"),"Magical",IF(G121="blocking","Anti-Physical",IF(G121="warding","Anti-Magical","Physical"))))</f>
        <v/>
      </c>
      <c r="O121">
        <f>IF(F121&lt;&gt;"armor","","TBD")</f>
        <v/>
      </c>
      <c r="P121">
        <f>IF(O121="","",IF(OR(G121="channeling",G121="infusing"),"Magical",IF(G121="blocking","Anti-Physical",IF(G121="warding","Anti-Magical","Physical"))))</f>
        <v/>
      </c>
      <c r="S121" t="n">
        <v>36</v>
      </c>
      <c r="T121" t="inlineStr">
        <is>
          <t>Ranged (attacks using this can target any Zone).</t>
        </is>
      </c>
      <c r="U121" t="inlineStr">
        <is>
          <t>Crystal in a primewood grip, stamped at the butt with a company mark. Standard magical issue, which is to say reliable and entirely without sentiment.</t>
        </is>
      </c>
      <c r="X121" t="inlineStr">
        <is>
          <t>dmg:3-9|Magical|channeling</t>
        </is>
      </c>
      <c r="Y121" t="inlineStr">
        <is>
          <t>https://drive.google.com/uc?export=download&amp;id=1ZA-uhryK0GEDY88BDDWJlgD0-mQoUY6Y</t>
        </is>
      </c>
    </row>
    <row r="122">
      <c r="A122" t="inlineStr">
        <is>
          <t>IT121</t>
        </is>
      </c>
      <c r="B122" t="inlineStr">
        <is>
          <t>item_template</t>
        </is>
      </c>
      <c r="C122" t="inlineStr">
        <is>
          <t>tile</t>
        </is>
      </c>
      <c r="D122" t="inlineStr">
        <is>
          <t>wood</t>
        </is>
      </c>
      <c r="E122" t="inlineStr">
        <is>
          <t>Primewood Longbow</t>
        </is>
      </c>
      <c r="F122" t="inlineStr">
        <is>
          <t>weapon</t>
        </is>
      </c>
      <c r="G122" t="inlineStr">
        <is>
          <t>projectile</t>
        </is>
      </c>
      <c r="H122" t="inlineStr">
        <is>
          <t>2H Bow</t>
        </is>
      </c>
      <c r="I122" t="inlineStr">
        <is>
          <t>1</t>
        </is>
      </c>
      <c r="J122">
        <f>IF(G122="","",IFERROR(IF(G122="infusing",IFERROR(LOOKUP(2,1/ISNUMBER(SEARCH(_lookup!$D$3:$D$4,H122)),_lookup!$E$3:$E$4),"INT"),VLOOKUP(G122,_lookup!$A$3:$B$14,2,FALSE)),""))</f>
        <v/>
      </c>
      <c r="K122">
        <f>IF(F122&lt;&gt;"weapon","",IF(G122="miscellaneous","1-4",IF(I122="","",IFERROR(VLOOKUP(I122&amp;"|"&amp;IF(LEFT(H122,2)="2H",2,1)&amp;"|"&amp;IF(G122="slashing",1,0),_lookup!$G$3:$H$18,2,FALSE),""))))</f>
        <v/>
      </c>
      <c r="L122">
        <f>IF(K122="","",IF(OR(G122="channeling",G122="infusing"),"Magical",IF(G122="blocking","Anti-Physical",IF(G122="warding","Anti-Magical","Physical"))))</f>
        <v/>
      </c>
      <c r="O122">
        <f>IF(F122&lt;&gt;"armor","","TBD")</f>
        <v/>
      </c>
      <c r="P122">
        <f>IF(O122="","",IF(OR(G122="channeling",G122="infusing"),"Magical",IF(G122="blocking","Anti-Physical",IF(G122="warding","Anti-Magical","Physical"))))</f>
        <v/>
      </c>
      <c r="S122" t="n">
        <v>50</v>
      </c>
      <c r="T122" t="inlineStr">
        <is>
          <t>Ranged (attacks using this can target any Zone).</t>
        </is>
      </c>
      <c r="U122" t="inlineStr">
        <is>
          <t>Grown above the snowline and seasoned slow. It stays cool and steady through a long volley, which is the whole reason its become a stock standard for the Marquisate's infantry.</t>
        </is>
      </c>
      <c r="X122" t="inlineStr">
        <is>
          <t>dmg:6-18|Physical|projectile</t>
        </is>
      </c>
      <c r="Y122" t="inlineStr">
        <is>
          <t>https://drive.google.com/uc?export=download&amp;id=1dIhjm0thIfj0dC0PyfBXXjnwv4nx_ljB</t>
        </is>
      </c>
    </row>
    <row r="123">
      <c r="A123" t="inlineStr">
        <is>
          <t>IT122</t>
        </is>
      </c>
      <c r="B123" t="inlineStr">
        <is>
          <t>item_template</t>
        </is>
      </c>
      <c r="C123" t="inlineStr">
        <is>
          <t>tile</t>
        </is>
      </c>
      <c r="D123" t="inlineStr">
        <is>
          <t>wood</t>
        </is>
      </c>
      <c r="E123" t="inlineStr">
        <is>
          <t>Crystal Staff</t>
        </is>
      </c>
      <c r="F123" t="inlineStr">
        <is>
          <t>weapon</t>
        </is>
      </c>
      <c r="G123" t="inlineStr">
        <is>
          <t>channeling</t>
        </is>
      </c>
      <c r="H123" t="inlineStr">
        <is>
          <t>2H Staff</t>
        </is>
      </c>
      <c r="I123" t="inlineStr">
        <is>
          <t>1</t>
        </is>
      </c>
      <c r="J123">
        <f>IF(G123="","",IFERROR(IF(G123="infusing",IFERROR(LOOKUP(2,1/ISNUMBER(SEARCH(_lookup!$D$3:$D$4,H123)),_lookup!$E$3:$E$4),"INT"),VLOOKUP(G123,_lookup!$A$3:$B$14,2,FALSE)),""))</f>
        <v/>
      </c>
      <c r="K123">
        <f>IF(F123&lt;&gt;"weapon","",IF(G123="miscellaneous","1-4",IF(I123="","",IFERROR(VLOOKUP(I123&amp;"|"&amp;IF(LEFT(H123,2)="2H",2,1)&amp;"|"&amp;IF(G123="slashing",1,0),_lookup!$G$3:$H$18,2,FALSE),""))))</f>
        <v/>
      </c>
      <c r="L123">
        <f>IF(K123="","",IF(OR(G123="channeling",G123="infusing"),"Magical",IF(G123="blocking","Anti-Physical",IF(G123="warding","Anti-Magical","Physical"))))</f>
        <v/>
      </c>
      <c r="O123">
        <f>IF(F123&lt;&gt;"armor","","TBD")</f>
        <v/>
      </c>
      <c r="P123">
        <f>IF(O123="","",IF(OR(G123="channeling",G123="infusing"),"Magical",IF(G123="blocking","Anti-Physical",IF(G123="warding","Anti-Magical","Physical"))))</f>
        <v/>
      </c>
      <c r="S123" t="n">
        <v>50</v>
      </c>
      <c r="T123" t="inlineStr">
        <is>
          <t>Ranged (attacks using this can target any Zone).</t>
        </is>
      </c>
      <c r="U123" t="inlineStr">
        <is>
          <t>A long shaft, dressed against the magical elements and capped with crystal. A quartermaster counts these out by the dozen and expects every one of them back.</t>
        </is>
      </c>
      <c r="X123" t="inlineStr">
        <is>
          <t>dmg:6-18|Magical|channeling</t>
        </is>
      </c>
      <c r="Y123" t="inlineStr">
        <is>
          <t>https://drive.google.com/uc?export=download&amp;id=1uoOs21InW5uvkEnky4_Vm5XB5gks8Xgj</t>
        </is>
      </c>
    </row>
    <row r="124">
      <c r="A124" t="inlineStr">
        <is>
          <t>IT123</t>
        </is>
      </c>
      <c r="B124" t="inlineStr">
        <is>
          <t>item_template</t>
        </is>
      </c>
      <c r="C124" t="inlineStr">
        <is>
          <t>tile</t>
        </is>
      </c>
      <c r="D124" t="inlineStr">
        <is>
          <t>wood</t>
        </is>
      </c>
      <c r="E124" t="inlineStr">
        <is>
          <t>Nightgrain Latchbow</t>
        </is>
      </c>
      <c r="F124" t="inlineStr">
        <is>
          <t>weapon</t>
        </is>
      </c>
      <c r="G124" t="inlineStr">
        <is>
          <t>projectile</t>
        </is>
      </c>
      <c r="H124" t="inlineStr">
        <is>
          <t>1H Crossbow</t>
        </is>
      </c>
      <c r="I124" t="inlineStr">
        <is>
          <t>2</t>
        </is>
      </c>
      <c r="J124">
        <f>IF(G124="","",IFERROR(IF(G124="infusing",IFERROR(LOOKUP(2,1/ISNUMBER(SEARCH(_lookup!$D$3:$D$4,H124)),_lookup!$E$3:$E$4),"INT"),VLOOKUP(G124,_lookup!$A$3:$B$14,2,FALSE)),""))</f>
        <v/>
      </c>
      <c r="K124">
        <f>IF(F124&lt;&gt;"weapon","",IF(G124="miscellaneous","1-4",IF(I124="","",IFERROR(VLOOKUP(I124&amp;"|"&amp;IF(LEFT(H124,2)="2H",2,1)&amp;"|"&amp;IF(G124="slashing",1,0),_lookup!$G$3:$H$18,2,FALSE),""))))</f>
        <v/>
      </c>
      <c r="L124">
        <f>IF(K124="","",IF(OR(G124="channeling",G124="infusing"),"Magical",IF(G124="blocking","Anti-Physical",IF(G124="warding","Anti-Magical","Physical"))))</f>
        <v/>
      </c>
      <c r="O124">
        <f>IF(F124&lt;&gt;"armor","","TBD")</f>
        <v/>
      </c>
      <c r="P124">
        <f>IF(O124="","",IF(OR(G124="channeling",G124="infusing"),"Magical",IF(G124="blocking","Anti-Physical",IF(G124="warding","Anti-Magical","Physical"))))</f>
        <v/>
      </c>
      <c r="S124" t="n">
        <v>144</v>
      </c>
      <c r="T124" t="inlineStr">
        <is>
          <t>Ranged (attacks using this can target any Zone).</t>
        </is>
      </c>
      <c r="U124" t="inlineStr">
        <is>
          <t>Nightgrain helmed with silver, dark-ringed and faintly cool to the paw. Elite skirmishers swear the craftsmanship is so sleek and low-profile that it helps them blend into their surroundings.</t>
        </is>
      </c>
      <c r="X124" t="inlineStr">
        <is>
          <t>dmg:5-12|Physical|projectile</t>
        </is>
      </c>
      <c r="Y124" t="inlineStr">
        <is>
          <t>https://drive.google.com/uc?export=download&amp;id=1Sq3oMut0EMQ-qGcdkgjuOGPT9RrVz0Ow</t>
        </is>
      </c>
    </row>
    <row r="125">
      <c r="A125" t="inlineStr">
        <is>
          <t>IT124</t>
        </is>
      </c>
      <c r="B125" t="inlineStr">
        <is>
          <t>item_template</t>
        </is>
      </c>
      <c r="C125" t="inlineStr">
        <is>
          <t>tile</t>
        </is>
      </c>
      <c r="D125" t="inlineStr">
        <is>
          <t>wood</t>
        </is>
      </c>
      <c r="E125" t="inlineStr">
        <is>
          <t>Shadow Wand</t>
        </is>
      </c>
      <c r="F125" t="inlineStr">
        <is>
          <t>weapon</t>
        </is>
      </c>
      <c r="G125" t="inlineStr">
        <is>
          <t>channeling</t>
        </is>
      </c>
      <c r="H125" t="inlineStr">
        <is>
          <t>1H Wand</t>
        </is>
      </c>
      <c r="I125" t="inlineStr">
        <is>
          <t>2</t>
        </is>
      </c>
      <c r="J125">
        <f>IF(G125="","",IFERROR(IF(G125="infusing",IFERROR(LOOKUP(2,1/ISNUMBER(SEARCH(_lookup!$D$3:$D$4,H125)),_lookup!$E$3:$E$4),"INT"),VLOOKUP(G125,_lookup!$A$3:$B$14,2,FALSE)),""))</f>
        <v/>
      </c>
      <c r="K125">
        <f>IF(F125&lt;&gt;"weapon","",IF(G125="miscellaneous","1-4",IF(I125="","",IFERROR(VLOOKUP(I125&amp;"|"&amp;IF(LEFT(H125,2)="2H",2,1)&amp;"|"&amp;IF(G125="slashing",1,0),_lookup!$G$3:$H$18,2,FALSE),""))))</f>
        <v/>
      </c>
      <c r="L125">
        <f>IF(K125="","",IF(OR(G125="channeling",G125="infusing"),"Magical",IF(G125="blocking","Anti-Physical",IF(G125="warding","Anti-Magical","Physical"))))</f>
        <v/>
      </c>
      <c r="O125">
        <f>IF(F125&lt;&gt;"armor","","TBD")</f>
        <v/>
      </c>
      <c r="P125">
        <f>IF(O125="","",IF(OR(G125="channeling",G125="infusing"),"Magical",IF(G125="blocking","Anti-Physical",IF(G125="warding","Anti-Magical","Physical"))))</f>
        <v/>
      </c>
      <c r="S125" t="n">
        <v>144</v>
      </c>
      <c r="T125" t="inlineStr">
        <is>
          <t>Ranged (attacks using this can target any Zone).</t>
        </is>
      </c>
      <c r="U125" t="inlineStr">
        <is>
          <t>Its crystal holds a thin enough facet to see the dusk through. The sort of thing carried by animals who are not asked to explain themselves.</t>
        </is>
      </c>
      <c r="X125" t="inlineStr">
        <is>
          <t>dmg:5-12|Magical|channeling</t>
        </is>
      </c>
      <c r="Y125" t="inlineStr">
        <is>
          <t>https://drive.google.com/uc?export=download&amp;id=1P72XaE4oFKiYJazlGV_sPG1jBH73qXuA</t>
        </is>
      </c>
    </row>
    <row r="126">
      <c r="A126" t="inlineStr">
        <is>
          <t>IT125</t>
        </is>
      </c>
      <c r="B126" t="inlineStr">
        <is>
          <t>item_template</t>
        </is>
      </c>
      <c r="C126" t="inlineStr">
        <is>
          <t>tile</t>
        </is>
      </c>
      <c r="D126" t="inlineStr">
        <is>
          <t>wood</t>
        </is>
      </c>
      <c r="E126" t="inlineStr">
        <is>
          <t>Nightgrain Longbow</t>
        </is>
      </c>
      <c r="F126" t="inlineStr">
        <is>
          <t>weapon</t>
        </is>
      </c>
      <c r="G126" t="inlineStr">
        <is>
          <t>projectile</t>
        </is>
      </c>
      <c r="H126" t="inlineStr">
        <is>
          <t>2H Bow</t>
        </is>
      </c>
      <c r="I126" t="inlineStr">
        <is>
          <t>2</t>
        </is>
      </c>
      <c r="J126">
        <f>IF(G126="","",IFERROR(IF(G126="infusing",IFERROR(LOOKUP(2,1/ISNUMBER(SEARCH(_lookup!$D$3:$D$4,H126)),_lookup!$E$3:$E$4),"INT"),VLOOKUP(G126,_lookup!$A$3:$B$14,2,FALSE)),""))</f>
        <v/>
      </c>
      <c r="K126">
        <f>IF(F126&lt;&gt;"weapon","",IF(G126="miscellaneous","1-4",IF(I126="","",IFERROR(VLOOKUP(I126&amp;"|"&amp;IF(LEFT(H126,2)="2H",2,1)&amp;"|"&amp;IF(G126="slashing",1,0),_lookup!$G$3:$H$18,2,FALSE),""))))</f>
        <v/>
      </c>
      <c r="L126">
        <f>IF(K126="","",IF(OR(G126="channeling",G126="infusing"),"Magical",IF(G126="blocking","Anti-Physical",IF(G126="warding","Anti-Magical","Physical"))))</f>
        <v/>
      </c>
      <c r="O126">
        <f>IF(F126&lt;&gt;"armor","","TBD")</f>
        <v/>
      </c>
      <c r="P126">
        <f>IF(O126="","",IF(OR(G126="channeling",G126="infusing"),"Magical",IF(G126="blocking","Anti-Physical",IF(G126="warding","Anti-Magical","Physical"))))</f>
        <v/>
      </c>
      <c r="S126" t="n">
        <v>201</v>
      </c>
      <c r="T126" t="inlineStr">
        <is>
          <t>Ranged (attacks using this can target any Zone).</t>
        </is>
      </c>
      <c r="U126" t="inlineStr">
        <is>
          <t>Its rings run dark as dusk. Archers who have carried one say a nightgrain bow draws itself toward what you were already looking at.</t>
        </is>
      </c>
      <c r="X126" t="inlineStr">
        <is>
          <t>dmg:10-24|Physical|projectile</t>
        </is>
      </c>
      <c r="Y126" t="inlineStr">
        <is>
          <t>https://drive.google.com/uc?export=download&amp;id=1xIOVGcik2KY6AMUod9zW2zKGRFQXyJRb</t>
        </is>
      </c>
    </row>
    <row r="127">
      <c r="A127" t="inlineStr">
        <is>
          <t>IT126</t>
        </is>
      </c>
      <c r="B127" t="inlineStr">
        <is>
          <t>item_template</t>
        </is>
      </c>
      <c r="C127" t="inlineStr">
        <is>
          <t>tile</t>
        </is>
      </c>
      <c r="D127" t="inlineStr">
        <is>
          <t>wood</t>
        </is>
      </c>
      <c r="E127" t="inlineStr">
        <is>
          <t>Shadow Staff</t>
        </is>
      </c>
      <c r="F127" t="inlineStr">
        <is>
          <t>weapon</t>
        </is>
      </c>
      <c r="G127" t="inlineStr">
        <is>
          <t>channeling</t>
        </is>
      </c>
      <c r="H127" t="inlineStr">
        <is>
          <t>2H Staff</t>
        </is>
      </c>
      <c r="I127" t="inlineStr">
        <is>
          <t>2</t>
        </is>
      </c>
      <c r="J127">
        <f>IF(G127="","",IFERROR(IF(G127="infusing",IFERROR(LOOKUP(2,1/ISNUMBER(SEARCH(_lookup!$D$3:$D$4,H127)),_lookup!$E$3:$E$4),"INT"),VLOOKUP(G127,_lookup!$A$3:$B$14,2,FALSE)),""))</f>
        <v/>
      </c>
      <c r="K127">
        <f>IF(F127&lt;&gt;"weapon","",IF(G127="miscellaneous","1-4",IF(I127="","",IFERROR(VLOOKUP(I127&amp;"|"&amp;IF(LEFT(H127,2)="2H",2,1)&amp;"|"&amp;IF(G127="slashing",1,0),_lookup!$G$3:$H$18,2,FALSE),""))))</f>
        <v/>
      </c>
      <c r="L127">
        <f>IF(K127="","",IF(OR(G127="channeling",G127="infusing"),"Magical",IF(G127="blocking","Anti-Physical",IF(G127="warding","Anti-Magical","Physical"))))</f>
        <v/>
      </c>
      <c r="O127">
        <f>IF(F127&lt;&gt;"armor","","TBD")</f>
        <v/>
      </c>
      <c r="P127">
        <f>IF(O127="","",IF(OR(G127="channeling",G127="infusing"),"Magical",IF(G127="blocking","Anti-Physical",IF(G127="warding","Anti-Magical","Physical"))))</f>
        <v/>
      </c>
      <c r="S127" t="n">
        <v>201</v>
      </c>
      <c r="T127" t="inlineStr">
        <is>
          <t>Ranged (attacks using this can target any Zone).</t>
        </is>
      </c>
      <c r="U127" t="inlineStr">
        <is>
          <t>The nightgrain seems to contain some ominous power, humming faintly even at rest. General-magisters carry these on parade and, usually, no place else.</t>
        </is>
      </c>
      <c r="X127" t="inlineStr">
        <is>
          <t>dmg:10-24|Magical|channeling</t>
        </is>
      </c>
      <c r="Y127" t="inlineStr">
        <is>
          <t>https://drive.google.com/uc?export=download&amp;id=1gAnVUYFP9ZGQV62qfUCtEduDigNcDui3</t>
        </is>
      </c>
    </row>
    <row r="128">
      <c r="A128" t="inlineStr">
        <is>
          <t>IT127</t>
        </is>
      </c>
      <c r="B128" t="inlineStr">
        <is>
          <t>item_template</t>
        </is>
      </c>
      <c r="C128" t="inlineStr">
        <is>
          <t>tile</t>
        </is>
      </c>
      <c r="D128" t="inlineStr">
        <is>
          <t>wood</t>
        </is>
      </c>
      <c r="E128" t="inlineStr">
        <is>
          <t>Emberbark Latchbow</t>
        </is>
      </c>
      <c r="F128" t="inlineStr">
        <is>
          <t>weapon</t>
        </is>
      </c>
      <c r="G128" t="inlineStr">
        <is>
          <t>projectile</t>
        </is>
      </c>
      <c r="H128" t="inlineStr">
        <is>
          <t>1H Crossbow</t>
        </is>
      </c>
      <c r="I128" t="inlineStr">
        <is>
          <t>3</t>
        </is>
      </c>
      <c r="J128">
        <f>IF(G128="","",IFERROR(IF(G128="infusing",IFERROR(LOOKUP(2,1/ISNUMBER(SEARCH(_lookup!$D$3:$D$4,H128)),_lookup!$E$3:$E$4),"INT"),VLOOKUP(G128,_lookup!$A$3:$B$14,2,FALSE)),""))</f>
        <v/>
      </c>
      <c r="K128">
        <f>IF(F128&lt;&gt;"weapon","",IF(G128="miscellaneous","1-4",IF(I128="","",IFERROR(VLOOKUP(I128&amp;"|"&amp;IF(LEFT(H128,2)="2H",2,1)&amp;"|"&amp;IF(G128="slashing",1,0),_lookup!$G$3:$H$18,2,FALSE),""))))</f>
        <v/>
      </c>
      <c r="L128">
        <f>IF(K128="","",IF(OR(G128="channeling",G128="infusing"),"Magical",IF(G128="blocking","Anti-Physical",IF(G128="warding","Anti-Magical","Physical"))))</f>
        <v/>
      </c>
      <c r="O128">
        <f>IF(F128&lt;&gt;"armor","","TBD")</f>
        <v/>
      </c>
      <c r="P128">
        <f>IF(O128="","",IF(OR(G128="channeling",G128="infusing"),"Magical",IF(G128="blocking","Anti-Physical",IF(G128="warding","Anti-Magical","Physical"))))</f>
        <v/>
      </c>
      <c r="S128" t="n">
        <v>400</v>
      </c>
      <c r="T128" t="inlineStr">
        <is>
          <t>Ranged (attacks using this can target any Zone).</t>
        </is>
      </c>
      <c r="U128" t="inlineStr">
        <is>
          <t>Cut from a tree that never stopped smoldering. The stock is still warm after a century, and the few who have loosed it are all in the songs.</t>
        </is>
      </c>
      <c r="X128" t="inlineStr">
        <is>
          <t>dmg:7-15|Physical|projectile</t>
        </is>
      </c>
      <c r="Y128" t="inlineStr">
        <is>
          <t>https://drive.google.com/uc?export=download&amp;id=1jgDMrxrB6iBtF5Erz11SjG022JP_fNEc</t>
        </is>
      </c>
    </row>
    <row r="129">
      <c r="A129" t="inlineStr">
        <is>
          <t>IT128</t>
        </is>
      </c>
      <c r="B129" t="inlineStr">
        <is>
          <t>item_template</t>
        </is>
      </c>
      <c r="C129" t="inlineStr">
        <is>
          <t>tile</t>
        </is>
      </c>
      <c r="D129" t="inlineStr">
        <is>
          <t>wood</t>
        </is>
      </c>
      <c r="E129" t="inlineStr">
        <is>
          <t>Kingsfire Wand</t>
        </is>
      </c>
      <c r="F129" t="inlineStr">
        <is>
          <t>weapon</t>
        </is>
      </c>
      <c r="G129" t="inlineStr">
        <is>
          <t>channeling</t>
        </is>
      </c>
      <c r="H129" t="inlineStr">
        <is>
          <t>1H Wand</t>
        </is>
      </c>
      <c r="I129" t="inlineStr">
        <is>
          <t>3</t>
        </is>
      </c>
      <c r="J129">
        <f>IF(G129="","",IFERROR(IF(G129="infusing",IFERROR(LOOKUP(2,1/ISNUMBER(SEARCH(_lookup!$D$3:$D$4,H129)),_lookup!$E$3:$E$4),"INT"),VLOOKUP(G129,_lookup!$A$3:$B$14,2,FALSE)),""))</f>
        <v/>
      </c>
      <c r="K129">
        <f>IF(F129&lt;&gt;"weapon","",IF(G129="miscellaneous","1-4",IF(I129="","",IFERROR(VLOOKUP(I129&amp;"|"&amp;IF(LEFT(H129,2)="2H",2,1)&amp;"|"&amp;IF(G129="slashing",1,0),_lookup!$G$3:$H$18,2,FALSE),""))))</f>
        <v/>
      </c>
      <c r="L129">
        <f>IF(K129="","",IF(OR(G129="channeling",G129="infusing"),"Magical",IF(G129="blocking","Anti-Physical",IF(G129="warding","Anti-Magical","Physical"))))</f>
        <v/>
      </c>
      <c r="O129">
        <f>IF(F129&lt;&gt;"armor","","TBD")</f>
        <v/>
      </c>
      <c r="P129">
        <f>IF(O129="","",IF(OR(G129="channeling",G129="infusing"),"Magical",IF(G129="blocking","Anti-Physical",IF(G129="warding","Anti-Magical","Physical"))))</f>
        <v/>
      </c>
      <c r="S129" t="n">
        <v>400</v>
      </c>
      <c r="T129" t="inlineStr">
        <is>
          <t>Ranged (attacks using this can target any Zone).</t>
        </is>
      </c>
      <c r="U129" t="inlineStr">
        <is>
          <t>A vibrant red crystal, weeping light at the seam. It contains magical power few believe harnessable.</t>
        </is>
      </c>
      <c r="X129" t="inlineStr">
        <is>
          <t>dmg:7-15|Magical|channeling</t>
        </is>
      </c>
      <c r="Y129" t="inlineStr">
        <is>
          <t>https://drive.google.com/uc?export=download&amp;id=1fdymVhGbqdZZLOJISFovAanU-3ezZOMx</t>
        </is>
      </c>
    </row>
    <row r="130">
      <c r="A130" t="inlineStr">
        <is>
          <t>IT129</t>
        </is>
      </c>
      <c r="B130" t="inlineStr">
        <is>
          <t>item_template</t>
        </is>
      </c>
      <c r="C130" t="inlineStr">
        <is>
          <t>tile</t>
        </is>
      </c>
      <c r="D130" t="inlineStr">
        <is>
          <t>wood</t>
        </is>
      </c>
      <c r="E130" t="inlineStr">
        <is>
          <t>Emberbark Longbow</t>
        </is>
      </c>
      <c r="F130" t="inlineStr">
        <is>
          <t>weapon</t>
        </is>
      </c>
      <c r="G130" t="inlineStr">
        <is>
          <t>projectile</t>
        </is>
      </c>
      <c r="H130" t="inlineStr">
        <is>
          <t>2H Bow</t>
        </is>
      </c>
      <c r="I130" t="inlineStr">
        <is>
          <t>3</t>
        </is>
      </c>
      <c r="J130">
        <f>IF(G130="","",IFERROR(IF(G130="infusing",IFERROR(LOOKUP(2,1/ISNUMBER(SEARCH(_lookup!$D$3:$D$4,H130)),_lookup!$E$3:$E$4),"INT"),VLOOKUP(G130,_lookup!$A$3:$B$14,2,FALSE)),""))</f>
        <v/>
      </c>
      <c r="K130">
        <f>IF(F130&lt;&gt;"weapon","",IF(G130="miscellaneous","1-4",IF(I130="","",IFERROR(VLOOKUP(I130&amp;"|"&amp;IF(LEFT(H130,2)="2H",2,1)&amp;"|"&amp;IF(G130="slashing",1,0),_lookup!$G$3:$H$18,2,FALSE),""))))</f>
        <v/>
      </c>
      <c r="L130">
        <f>IF(K130="","",IF(OR(G130="channeling",G130="infusing"),"Magical",IF(G130="blocking","Anti-Physical",IF(G130="warding","Anti-Magical","Physical"))))</f>
        <v/>
      </c>
      <c r="O130">
        <f>IF(F130&lt;&gt;"armor","","TBD")</f>
        <v/>
      </c>
      <c r="P130">
        <f>IF(O130="","",IF(OR(G130="channeling",G130="infusing"),"Magical",IF(G130="blocking","Anti-Physical",IF(G130="warding","Anti-Magical","Physical"))))</f>
        <v/>
      </c>
      <c r="S130" t="n">
        <v>560</v>
      </c>
      <c r="T130" t="inlineStr">
        <is>
          <t>Ranged (attacks using this can target any Zone).</t>
        </is>
      </c>
      <c r="U130" t="inlineStr">
        <is>
          <t>Emberbark, but strung with some additional power nobody can name. It has been drawn perhaps a dozen times in living memory and every draw is remembered.</t>
        </is>
      </c>
      <c r="X130" t="inlineStr">
        <is>
          <t>dmg:14-30|Physical|projectile</t>
        </is>
      </c>
      <c r="Y130" t="inlineStr">
        <is>
          <t>https://drive.google.com/uc?export=download&amp;id=1wOgES3NibHsbYabymCrNcfCkgvq0T-fh</t>
        </is>
      </c>
    </row>
    <row r="131">
      <c r="A131" t="inlineStr">
        <is>
          <t>IT130</t>
        </is>
      </c>
      <c r="B131" t="inlineStr">
        <is>
          <t>item_template</t>
        </is>
      </c>
      <c r="C131" t="inlineStr">
        <is>
          <t>tile</t>
        </is>
      </c>
      <c r="D131" t="inlineStr">
        <is>
          <t>wood</t>
        </is>
      </c>
      <c r="E131" t="inlineStr">
        <is>
          <t>Kingsfire Staff</t>
        </is>
      </c>
      <c r="F131" t="inlineStr">
        <is>
          <t>weapon</t>
        </is>
      </c>
      <c r="G131" t="inlineStr">
        <is>
          <t>channeling</t>
        </is>
      </c>
      <c r="H131" t="inlineStr">
        <is>
          <t>2H Staff</t>
        </is>
      </c>
      <c r="I131" t="inlineStr">
        <is>
          <t>3</t>
        </is>
      </c>
      <c r="J131">
        <f>IF(G131="","",IFERROR(IF(G131="infusing",IFERROR(LOOKUP(2,1/ISNUMBER(SEARCH(_lookup!$D$3:$D$4,H131)),_lookup!$E$3:$E$4),"INT"),VLOOKUP(G131,_lookup!$A$3:$B$14,2,FALSE)),""))</f>
        <v/>
      </c>
      <c r="K131">
        <f>IF(F131&lt;&gt;"weapon","",IF(G131="miscellaneous","1-4",IF(I131="","",IFERROR(VLOOKUP(I131&amp;"|"&amp;IF(LEFT(H131,2)="2H",2,1)&amp;"|"&amp;IF(G131="slashing",1,0),_lookup!$G$3:$H$18,2,FALSE),""))))</f>
        <v/>
      </c>
      <c r="L131">
        <f>IF(K131="","",IF(OR(G131="channeling",G131="infusing"),"Magical",IF(G131="blocking","Anti-Physical",IF(G131="warding","Anti-Magical","Physical"))))</f>
        <v/>
      </c>
      <c r="O131">
        <f>IF(F131&lt;&gt;"armor","","TBD")</f>
        <v/>
      </c>
      <c r="P131">
        <f>IF(O131="","",IF(OR(G131="channeling",G131="infusing"),"Magical",IF(G131="blocking","Anti-Physical",IF(G131="warding","Anti-Magical","Physical"))))</f>
        <v/>
      </c>
      <c r="S131" t="n">
        <v>560</v>
      </c>
      <c r="T131" t="inlineStr">
        <is>
          <t>Ranged (attacks using this can target any Zone).</t>
        </is>
      </c>
      <c r="U131" t="inlineStr">
        <is>
          <t>The staff carved from an emberbark heart still glows where the paw goes. Emperors have held this. Most animals have never seen one and never will.</t>
        </is>
      </c>
      <c r="X131" t="inlineStr">
        <is>
          <t>dmg:14-30|Magical|channeling</t>
        </is>
      </c>
      <c r="Y131" t="inlineStr">
        <is>
          <t>https://drive.google.com/uc?export=download&amp;id=1PmJZa_Sv4DKrI3cswlsfLNCICWpjaK82</t>
        </is>
      </c>
    </row>
    <row r="132">
      <c r="A132" t="inlineStr">
        <is>
          <t>IT131</t>
        </is>
      </c>
      <c r="B132" t="inlineStr">
        <is>
          <t>item_template</t>
        </is>
      </c>
      <c r="C132" t="inlineStr">
        <is>
          <t>tile</t>
        </is>
      </c>
      <c r="J132">
        <f>IF(G132="","",IFERROR(IF(G132="infusing",IFERROR(LOOKUP(2,1/ISNUMBER(SEARCH(_lookup!$D$3:$D$4,H132)),_lookup!$E$3:$E$4),"INT"),VLOOKUP(G132,_lookup!$A$3:$B$14,2,FALSE)),""))</f>
        <v/>
      </c>
      <c r="K132">
        <f>IF(F132&lt;&gt;"weapon","",IF(G132="miscellaneous","1-4",IF(I132="","",IFERROR(VLOOKUP(I132&amp;"|"&amp;IF(LEFT(H132,2)="2H",2,1)&amp;"|"&amp;IF(G132="slashing",1,0),_lookup!$G$3:$H$18,2,FALSE),""))))</f>
        <v/>
      </c>
      <c r="L132">
        <f>IF(K132="","",IF(OR(G132="channeling",G132="infusing"),"Magical",IF(G132="blocking","Anti-Physical",IF(G132="warding","Anti-Magical","Physical"))))</f>
        <v/>
      </c>
      <c r="O132">
        <f>IF(F132&lt;&gt;"armor","","TBD")</f>
        <v/>
      </c>
      <c r="P132">
        <f>IF(O132="","",IF(OR(G132="channeling",G132="infusing"),"Magical",IF(G132="blocking","Anti-Physical",IF(G132="warding","Anti-Magical","Physical"))))</f>
        <v/>
      </c>
    </row>
    <row r="133">
      <c r="A133" t="inlineStr">
        <is>
          <t>IT132</t>
        </is>
      </c>
      <c r="B133" t="inlineStr">
        <is>
          <t>item_template</t>
        </is>
      </c>
      <c r="C133" t="inlineStr">
        <is>
          <t>tile</t>
        </is>
      </c>
      <c r="J133">
        <f>IF(G133="","",IFERROR(IF(G133="infusing",IFERROR(LOOKUP(2,1/ISNUMBER(SEARCH(_lookup!$D$3:$D$4,H133)),_lookup!$E$3:$E$4),"INT"),VLOOKUP(G133,_lookup!$A$3:$B$14,2,FALSE)),""))</f>
        <v/>
      </c>
      <c r="K133">
        <f>IF(F133&lt;&gt;"weapon","",IF(G133="miscellaneous","1-4",IF(I133="","",IFERROR(VLOOKUP(I133&amp;"|"&amp;IF(LEFT(H133,2)="2H",2,1)&amp;"|"&amp;IF(G133="slashing",1,0),_lookup!$G$3:$H$18,2,FALSE),""))))</f>
        <v/>
      </c>
      <c r="L133">
        <f>IF(K133="","",IF(OR(G133="channeling",G133="infusing"),"Magical",IF(G133="blocking","Anti-Physical",IF(G133="warding","Anti-Magical","Physical"))))</f>
        <v/>
      </c>
      <c r="O133">
        <f>IF(F133&lt;&gt;"armor","","TBD")</f>
        <v/>
      </c>
      <c r="P133">
        <f>IF(O133="","",IF(OR(G133="channeling",G133="infusing"),"Magical",IF(G133="blocking","Anti-Physical",IF(G133="warding","Anti-Magical","Physical"))))</f>
        <v/>
      </c>
    </row>
    <row r="134">
      <c r="A134" t="inlineStr">
        <is>
          <t>IT133</t>
        </is>
      </c>
      <c r="B134" t="inlineStr">
        <is>
          <t>item_template</t>
        </is>
      </c>
      <c r="C134" t="inlineStr">
        <is>
          <t>tile</t>
        </is>
      </c>
      <c r="J134">
        <f>IF(G134="","",IFERROR(IF(G134="infusing",IFERROR(LOOKUP(2,1/ISNUMBER(SEARCH(_lookup!$D$3:$D$4,H134)),_lookup!$E$3:$E$4),"INT"),VLOOKUP(G134,_lookup!$A$3:$B$14,2,FALSE)),""))</f>
        <v/>
      </c>
      <c r="K134">
        <f>IF(F134&lt;&gt;"weapon","",IF(G134="miscellaneous","1-4",IF(I134="","",IFERROR(VLOOKUP(I134&amp;"|"&amp;IF(LEFT(H134,2)="2H",2,1)&amp;"|"&amp;IF(G134="slashing",1,0),_lookup!$G$3:$H$18,2,FALSE),""))))</f>
        <v/>
      </c>
      <c r="L134">
        <f>IF(K134="","",IF(OR(G134="channeling",G134="infusing"),"Magical",IF(G134="blocking","Anti-Physical",IF(G134="warding","Anti-Magical","Physical"))))</f>
        <v/>
      </c>
      <c r="O134">
        <f>IF(F134&lt;&gt;"armor","","TBD")</f>
        <v/>
      </c>
      <c r="P134">
        <f>IF(O134="","",IF(OR(G134="channeling",G134="infusing"),"Magical",IF(G134="blocking","Anti-Physical",IF(G134="warding","Anti-Magical","Physical"))))</f>
        <v/>
      </c>
    </row>
    <row r="135">
      <c r="A135" t="inlineStr">
        <is>
          <t>IT134</t>
        </is>
      </c>
      <c r="B135" t="inlineStr">
        <is>
          <t>item_template</t>
        </is>
      </c>
      <c r="C135" t="inlineStr">
        <is>
          <t>tile</t>
        </is>
      </c>
      <c r="J135">
        <f>IF(G135="","",IFERROR(IF(G135="infusing",IFERROR(LOOKUP(2,1/ISNUMBER(SEARCH(_lookup!$D$3:$D$4,H135)),_lookup!$E$3:$E$4),"INT"),VLOOKUP(G135,_lookup!$A$3:$B$14,2,FALSE)),""))</f>
        <v/>
      </c>
      <c r="K135">
        <f>IF(F135&lt;&gt;"weapon","",IF(G135="miscellaneous","1-4",IF(I135="","",IFERROR(VLOOKUP(I135&amp;"|"&amp;IF(LEFT(H135,2)="2H",2,1)&amp;"|"&amp;IF(G135="slashing",1,0),_lookup!$G$3:$H$18,2,FALSE),""))))</f>
        <v/>
      </c>
      <c r="L135">
        <f>IF(K135="","",IF(OR(G135="channeling",G135="infusing"),"Magical",IF(G135="blocking","Anti-Physical",IF(G135="warding","Anti-Magical","Physical"))))</f>
        <v/>
      </c>
      <c r="O135">
        <f>IF(F135&lt;&gt;"armor","","TBD")</f>
        <v/>
      </c>
      <c r="P135">
        <f>IF(O135="","",IF(OR(G135="channeling",G135="infusing"),"Magical",IF(G135="blocking","Anti-Physical",IF(G135="warding","Anti-Magical","Physical"))))</f>
        <v/>
      </c>
    </row>
    <row r="136">
      <c r="A136" t="inlineStr">
        <is>
          <t>IT135</t>
        </is>
      </c>
      <c r="B136" t="inlineStr">
        <is>
          <t>item_template</t>
        </is>
      </c>
      <c r="C136" t="inlineStr">
        <is>
          <t>tile</t>
        </is>
      </c>
      <c r="J136">
        <f>IF(G136="","",IFERROR(IF(G136="infusing",IFERROR(LOOKUP(2,1/ISNUMBER(SEARCH(_lookup!$D$3:$D$4,H136)),_lookup!$E$3:$E$4),"INT"),VLOOKUP(G136,_lookup!$A$3:$B$14,2,FALSE)),""))</f>
        <v/>
      </c>
      <c r="K136">
        <f>IF(F136&lt;&gt;"weapon","",IF(G136="miscellaneous","1-4",IF(I136="","",IFERROR(VLOOKUP(I136&amp;"|"&amp;IF(LEFT(H136,2)="2H",2,1)&amp;"|"&amp;IF(G136="slashing",1,0),_lookup!$G$3:$H$18,2,FALSE),""))))</f>
        <v/>
      </c>
      <c r="L136">
        <f>IF(K136="","",IF(OR(G136="channeling",G136="infusing"),"Magical",IF(G136="blocking","Anti-Physical",IF(G136="warding","Anti-Magical","Physical"))))</f>
        <v/>
      </c>
      <c r="O136">
        <f>IF(F136&lt;&gt;"armor","","TBD")</f>
        <v/>
      </c>
      <c r="P136">
        <f>IF(O136="","",IF(OR(G136="channeling",G136="infusing"),"Magical",IF(G136="blocking","Anti-Physical",IF(G136="warding","Anti-Magical","Physical"))))</f>
        <v/>
      </c>
    </row>
    <row r="137">
      <c r="A137" t="inlineStr">
        <is>
          <t>IT136</t>
        </is>
      </c>
      <c r="B137" t="inlineStr">
        <is>
          <t>item_template</t>
        </is>
      </c>
      <c r="C137" t="inlineStr">
        <is>
          <t>tile</t>
        </is>
      </c>
      <c r="J137">
        <f>IF(G137="","",IFERROR(IF(G137="infusing",IFERROR(LOOKUP(2,1/ISNUMBER(SEARCH(_lookup!$D$3:$D$4,H137)),_lookup!$E$3:$E$4),"INT"),VLOOKUP(G137,_lookup!$A$3:$B$14,2,FALSE)),""))</f>
        <v/>
      </c>
      <c r="K137">
        <f>IF(F137&lt;&gt;"weapon","",IF(G137="miscellaneous","1-4",IF(I137="","",IFERROR(VLOOKUP(I137&amp;"|"&amp;IF(LEFT(H137,2)="2H",2,1)&amp;"|"&amp;IF(G137="slashing",1,0),_lookup!$G$3:$H$18,2,FALSE),""))))</f>
        <v/>
      </c>
      <c r="L137">
        <f>IF(K137="","",IF(OR(G137="channeling",G137="infusing"),"Magical",IF(G137="blocking","Anti-Physical",IF(G137="warding","Anti-Magical","Physical"))))</f>
        <v/>
      </c>
      <c r="O137">
        <f>IF(F137&lt;&gt;"armor","","TBD")</f>
        <v/>
      </c>
      <c r="P137">
        <f>IF(O137="","",IF(OR(G137="channeling",G137="infusing"),"Magical",IF(G137="blocking","Anti-Physical",IF(G137="warding","Anti-Magical","Physical"))))</f>
        <v/>
      </c>
    </row>
    <row r="138">
      <c r="A138" t="inlineStr">
        <is>
          <t>IT137</t>
        </is>
      </c>
      <c r="B138" t="inlineStr">
        <is>
          <t>item_template</t>
        </is>
      </c>
      <c r="C138" t="inlineStr">
        <is>
          <t>tile</t>
        </is>
      </c>
      <c r="J138">
        <f>IF(G138="","",IFERROR(IF(G138="infusing",IFERROR(LOOKUP(2,1/ISNUMBER(SEARCH(_lookup!$D$3:$D$4,H138)),_lookup!$E$3:$E$4),"INT"),VLOOKUP(G138,_lookup!$A$3:$B$14,2,FALSE)),""))</f>
        <v/>
      </c>
      <c r="K138">
        <f>IF(F138&lt;&gt;"weapon","",IF(G138="miscellaneous","1-4",IF(I138="","",IFERROR(VLOOKUP(I138&amp;"|"&amp;IF(LEFT(H138,2)="2H",2,1)&amp;"|"&amp;IF(G138="slashing",1,0),_lookup!$G$3:$H$18,2,FALSE),""))))</f>
        <v/>
      </c>
      <c r="L138">
        <f>IF(K138="","",IF(OR(G138="channeling",G138="infusing"),"Magical",IF(G138="blocking","Anti-Physical",IF(G138="warding","Anti-Magical","Physical"))))</f>
        <v/>
      </c>
      <c r="O138">
        <f>IF(F138&lt;&gt;"armor","","TBD")</f>
        <v/>
      </c>
      <c r="P138">
        <f>IF(O138="","",IF(OR(G138="channeling",G138="infusing"),"Magical",IF(G138="blocking","Anti-Physical",IF(G138="warding","Anti-Magical","Physical"))))</f>
        <v/>
      </c>
    </row>
    <row r="139">
      <c r="A139" t="inlineStr">
        <is>
          <t>IT138</t>
        </is>
      </c>
      <c r="B139" t="inlineStr">
        <is>
          <t>item_template</t>
        </is>
      </c>
      <c r="C139" t="inlineStr">
        <is>
          <t>tile</t>
        </is>
      </c>
      <c r="J139">
        <f>IF(G139="","",IFERROR(IF(G139="infusing",IFERROR(LOOKUP(2,1/ISNUMBER(SEARCH(_lookup!$D$3:$D$4,H139)),_lookup!$E$3:$E$4),"INT"),VLOOKUP(G139,_lookup!$A$3:$B$14,2,FALSE)),""))</f>
        <v/>
      </c>
      <c r="K139">
        <f>IF(F139&lt;&gt;"weapon","",IF(G139="miscellaneous","1-4",IF(I139="","",IFERROR(VLOOKUP(I139&amp;"|"&amp;IF(LEFT(H139,2)="2H",2,1)&amp;"|"&amp;IF(G139="slashing",1,0),_lookup!$G$3:$H$18,2,FALSE),""))))</f>
        <v/>
      </c>
      <c r="L139">
        <f>IF(K139="","",IF(OR(G139="channeling",G139="infusing"),"Magical",IF(G139="blocking","Anti-Physical",IF(G139="warding","Anti-Magical","Physical"))))</f>
        <v/>
      </c>
      <c r="O139">
        <f>IF(F139&lt;&gt;"armor","","TBD")</f>
        <v/>
      </c>
      <c r="P139">
        <f>IF(O139="","",IF(OR(G139="channeling",G139="infusing"),"Magical",IF(G139="blocking","Anti-Physical",IF(G139="warding","Anti-Magical","Physical"))))</f>
        <v/>
      </c>
    </row>
    <row r="140">
      <c r="A140" t="inlineStr">
        <is>
          <t>IT139</t>
        </is>
      </c>
      <c r="B140" t="inlineStr">
        <is>
          <t>item_template</t>
        </is>
      </c>
      <c r="C140" t="inlineStr">
        <is>
          <t>tile</t>
        </is>
      </c>
      <c r="J140">
        <f>IF(G140="","",IFERROR(IF(G140="infusing",IFERROR(LOOKUP(2,1/ISNUMBER(SEARCH(_lookup!$D$3:$D$4,H140)),_lookup!$E$3:$E$4),"INT"),VLOOKUP(G140,_lookup!$A$3:$B$14,2,FALSE)),""))</f>
        <v/>
      </c>
      <c r="K140">
        <f>IF(F140&lt;&gt;"weapon","",IF(G140="miscellaneous","1-4",IF(I140="","",IFERROR(VLOOKUP(I140&amp;"|"&amp;IF(LEFT(H140,2)="2H",2,1)&amp;"|"&amp;IF(G140="slashing",1,0),_lookup!$G$3:$H$18,2,FALSE),""))))</f>
        <v/>
      </c>
      <c r="L140">
        <f>IF(K140="","",IF(OR(G140="channeling",G140="infusing"),"Magical",IF(G140="blocking","Anti-Physical",IF(G140="warding","Anti-Magical","Physical"))))</f>
        <v/>
      </c>
      <c r="O140">
        <f>IF(F140&lt;&gt;"armor","","TBD")</f>
        <v/>
      </c>
      <c r="P140">
        <f>IF(O140="","",IF(OR(G140="channeling",G140="infusing"),"Magical",IF(G140="blocking","Anti-Physical",IF(G140="warding","Anti-Magical","Physical"))))</f>
        <v/>
      </c>
    </row>
    <row r="141">
      <c r="A141" t="inlineStr">
        <is>
          <t>IT140</t>
        </is>
      </c>
      <c r="B141" t="inlineStr">
        <is>
          <t>item_template</t>
        </is>
      </c>
      <c r="C141" t="inlineStr">
        <is>
          <t>tile</t>
        </is>
      </c>
      <c r="J141">
        <f>IF(G141="","",IFERROR(IF(G141="infusing",IFERROR(LOOKUP(2,1/ISNUMBER(SEARCH(_lookup!$D$3:$D$4,H141)),_lookup!$E$3:$E$4),"INT"),VLOOKUP(G141,_lookup!$A$3:$B$14,2,FALSE)),""))</f>
        <v/>
      </c>
      <c r="K141">
        <f>IF(F141&lt;&gt;"weapon","",IF(G141="miscellaneous","1-4",IF(I141="","",IFERROR(VLOOKUP(I141&amp;"|"&amp;IF(LEFT(H141,2)="2H",2,1)&amp;"|"&amp;IF(G141="slashing",1,0),_lookup!$G$3:$H$18,2,FALSE),""))))</f>
        <v/>
      </c>
      <c r="L141">
        <f>IF(K141="","",IF(OR(G141="channeling",G141="infusing"),"Magical",IF(G141="blocking","Anti-Physical",IF(G141="warding","Anti-Magical","Physical"))))</f>
        <v/>
      </c>
      <c r="O141">
        <f>IF(F141&lt;&gt;"armor","","TBD")</f>
        <v/>
      </c>
      <c r="P141">
        <f>IF(O141="","",IF(OR(G141="channeling",G141="infusing"),"Magical",IF(G141="blocking","Anti-Physical",IF(G141="warding","Anti-Magical","Physical"))))</f>
        <v/>
      </c>
    </row>
    <row r="142">
      <c r="A142" t="inlineStr">
        <is>
          <t>IT141</t>
        </is>
      </c>
      <c r="B142" t="inlineStr">
        <is>
          <t>item_template</t>
        </is>
      </c>
      <c r="C142" t="inlineStr">
        <is>
          <t>tile</t>
        </is>
      </c>
      <c r="J142">
        <f>IF(G142="","",IFERROR(IF(G142="infusing",IFERROR(LOOKUP(2,1/ISNUMBER(SEARCH(_lookup!$D$3:$D$4,H142)),_lookup!$E$3:$E$4),"INT"),VLOOKUP(G142,_lookup!$A$3:$B$14,2,FALSE)),""))</f>
        <v/>
      </c>
      <c r="K142">
        <f>IF(F142&lt;&gt;"weapon","",IF(G142="miscellaneous","1-4",IF(I142="","",IFERROR(VLOOKUP(I142&amp;"|"&amp;IF(LEFT(H142,2)="2H",2,1)&amp;"|"&amp;IF(G142="slashing",1,0),_lookup!$G$3:$H$18,2,FALSE),""))))</f>
        <v/>
      </c>
      <c r="L142">
        <f>IF(K142="","",IF(OR(G142="channeling",G142="infusing"),"Magical",IF(G142="blocking","Anti-Physical",IF(G142="warding","Anti-Magical","Physical"))))</f>
        <v/>
      </c>
      <c r="O142">
        <f>IF(F142&lt;&gt;"armor","","TBD")</f>
        <v/>
      </c>
      <c r="P142">
        <f>IF(O142="","",IF(OR(G142="channeling",G142="infusing"),"Magical",IF(G142="blocking","Anti-Physical",IF(G142="warding","Anti-Magical","Physical"))))</f>
        <v/>
      </c>
    </row>
    <row r="143">
      <c r="A143" t="inlineStr">
        <is>
          <t>IT142</t>
        </is>
      </c>
      <c r="B143" t="inlineStr">
        <is>
          <t>item_template</t>
        </is>
      </c>
      <c r="C143" t="inlineStr">
        <is>
          <t>tile</t>
        </is>
      </c>
      <c r="J143">
        <f>IF(G143="","",IFERROR(IF(G143="infusing",IFERROR(LOOKUP(2,1/ISNUMBER(SEARCH(_lookup!$D$3:$D$4,H143)),_lookup!$E$3:$E$4),"INT"),VLOOKUP(G143,_lookup!$A$3:$B$14,2,FALSE)),""))</f>
        <v/>
      </c>
      <c r="K143">
        <f>IF(F143&lt;&gt;"weapon","",IF(G143="miscellaneous","1-4",IF(I143="","",IFERROR(VLOOKUP(I143&amp;"|"&amp;IF(LEFT(H143,2)="2H",2,1)&amp;"|"&amp;IF(G143="slashing",1,0),_lookup!$G$3:$H$18,2,FALSE),""))))</f>
        <v/>
      </c>
      <c r="L143">
        <f>IF(K143="","",IF(OR(G143="channeling",G143="infusing"),"Magical",IF(G143="blocking","Anti-Physical",IF(G143="warding","Anti-Magical","Physical"))))</f>
        <v/>
      </c>
      <c r="O143">
        <f>IF(F143&lt;&gt;"armor","","TBD")</f>
        <v/>
      </c>
      <c r="P143">
        <f>IF(O143="","",IF(OR(G143="channeling",G143="infusing"),"Magical",IF(G143="blocking","Anti-Physical",IF(G143="warding","Anti-Magical","Physical"))))</f>
        <v/>
      </c>
    </row>
    <row r="144">
      <c r="A144" t="inlineStr">
        <is>
          <t>IT143</t>
        </is>
      </c>
      <c r="B144" t="inlineStr">
        <is>
          <t>item_template</t>
        </is>
      </c>
      <c r="C144" t="inlineStr">
        <is>
          <t>tile</t>
        </is>
      </c>
      <c r="J144">
        <f>IF(G144="","",IFERROR(IF(G144="infusing",IFERROR(LOOKUP(2,1/ISNUMBER(SEARCH(_lookup!$D$3:$D$4,H144)),_lookup!$E$3:$E$4),"INT"),VLOOKUP(G144,_lookup!$A$3:$B$14,2,FALSE)),""))</f>
        <v/>
      </c>
      <c r="K144">
        <f>IF(F144&lt;&gt;"weapon","",IF(G144="miscellaneous","1-4",IF(I144="","",IFERROR(VLOOKUP(I144&amp;"|"&amp;IF(LEFT(H144,2)="2H",2,1)&amp;"|"&amp;IF(G144="slashing",1,0),_lookup!$G$3:$H$18,2,FALSE),""))))</f>
        <v/>
      </c>
      <c r="L144">
        <f>IF(K144="","",IF(OR(G144="channeling",G144="infusing"),"Magical",IF(G144="blocking","Anti-Physical",IF(G144="warding","Anti-Magical","Physical"))))</f>
        <v/>
      </c>
      <c r="O144">
        <f>IF(F144&lt;&gt;"armor","","TBD")</f>
        <v/>
      </c>
      <c r="P144">
        <f>IF(O144="","",IF(OR(G144="channeling",G144="infusing"),"Magical",IF(G144="blocking","Anti-Physical",IF(G144="warding","Anti-Magical","Physical"))))</f>
        <v/>
      </c>
    </row>
    <row r="145">
      <c r="A145" t="inlineStr">
        <is>
          <t>IT144</t>
        </is>
      </c>
      <c r="B145" t="inlineStr">
        <is>
          <t>item_template</t>
        </is>
      </c>
      <c r="C145" t="inlineStr">
        <is>
          <t>tile</t>
        </is>
      </c>
      <c r="J145">
        <f>IF(G145="","",IFERROR(IF(G145="infusing",IFERROR(LOOKUP(2,1/ISNUMBER(SEARCH(_lookup!$D$3:$D$4,H145)),_lookup!$E$3:$E$4),"INT"),VLOOKUP(G145,_lookup!$A$3:$B$14,2,FALSE)),""))</f>
        <v/>
      </c>
      <c r="K145">
        <f>IF(F145&lt;&gt;"weapon","",IF(G145="miscellaneous","1-4",IF(I145="","",IFERROR(VLOOKUP(I145&amp;"|"&amp;IF(LEFT(H145,2)="2H",2,1)&amp;"|"&amp;IF(G145="slashing",1,0),_lookup!$G$3:$H$18,2,FALSE),""))))</f>
        <v/>
      </c>
      <c r="L145">
        <f>IF(K145="","",IF(OR(G145="channeling",G145="infusing"),"Magical",IF(G145="blocking","Anti-Physical",IF(G145="warding","Anti-Magical","Physical"))))</f>
        <v/>
      </c>
      <c r="O145">
        <f>IF(F145&lt;&gt;"armor","","TBD")</f>
        <v/>
      </c>
      <c r="P145">
        <f>IF(O145="","",IF(OR(G145="channeling",G145="infusing"),"Magical",IF(G145="blocking","Anti-Physical",IF(G145="warding","Anti-Magical","Physical"))))</f>
        <v/>
      </c>
    </row>
    <row r="146">
      <c r="A146" t="inlineStr">
        <is>
          <t>IT145</t>
        </is>
      </c>
      <c r="B146" t="inlineStr">
        <is>
          <t>item_template</t>
        </is>
      </c>
      <c r="C146" t="inlineStr">
        <is>
          <t>tile</t>
        </is>
      </c>
      <c r="J146">
        <f>IF(G146="","",IFERROR(IF(G146="infusing",IFERROR(LOOKUP(2,1/ISNUMBER(SEARCH(_lookup!$D$3:$D$4,H146)),_lookup!$E$3:$E$4),"INT"),VLOOKUP(G146,_lookup!$A$3:$B$14,2,FALSE)),""))</f>
        <v/>
      </c>
      <c r="K146">
        <f>IF(F146&lt;&gt;"weapon","",IF(G146="miscellaneous","1-4",IF(I146="","",IFERROR(VLOOKUP(I146&amp;"|"&amp;IF(LEFT(H146,2)="2H",2,1)&amp;"|"&amp;IF(G146="slashing",1,0),_lookup!$G$3:$H$18,2,FALSE),""))))</f>
        <v/>
      </c>
      <c r="L146">
        <f>IF(K146="","",IF(OR(G146="channeling",G146="infusing"),"Magical",IF(G146="blocking","Anti-Physical",IF(G146="warding","Anti-Magical","Physical"))))</f>
        <v/>
      </c>
      <c r="O146">
        <f>IF(F146&lt;&gt;"armor","","TBD")</f>
        <v/>
      </c>
      <c r="P146">
        <f>IF(O146="","",IF(OR(G146="channeling",G146="infusing"),"Magical",IF(G146="blocking","Anti-Physical",IF(G146="warding","Anti-Magical","Physical"))))</f>
        <v/>
      </c>
    </row>
    <row r="147">
      <c r="A147" t="inlineStr">
        <is>
          <t>IT146</t>
        </is>
      </c>
      <c r="B147" t="inlineStr">
        <is>
          <t>item_template</t>
        </is>
      </c>
      <c r="C147" t="inlineStr">
        <is>
          <t>tile</t>
        </is>
      </c>
      <c r="J147">
        <f>IF(G147="","",IFERROR(IF(G147="infusing",IFERROR(LOOKUP(2,1/ISNUMBER(SEARCH(_lookup!$D$3:$D$4,H147)),_lookup!$E$3:$E$4),"INT"),VLOOKUP(G147,_lookup!$A$3:$B$14,2,FALSE)),""))</f>
        <v/>
      </c>
      <c r="K147">
        <f>IF(F147&lt;&gt;"weapon","",IF(G147="miscellaneous","1-4",IF(I147="","",IFERROR(VLOOKUP(I147&amp;"|"&amp;IF(LEFT(H147,2)="2H",2,1)&amp;"|"&amp;IF(G147="slashing",1,0),_lookup!$G$3:$H$18,2,FALSE),""))))</f>
        <v/>
      </c>
      <c r="L147">
        <f>IF(K147="","",IF(OR(G147="channeling",G147="infusing"),"Magical",IF(G147="blocking","Anti-Physical",IF(G147="warding","Anti-Magical","Physical"))))</f>
        <v/>
      </c>
      <c r="O147">
        <f>IF(F147&lt;&gt;"armor","","TBD")</f>
        <v/>
      </c>
      <c r="P147">
        <f>IF(O147="","",IF(OR(G147="channeling",G147="infusing"),"Magical",IF(G147="blocking","Anti-Physical",IF(G147="warding","Anti-Magical","Physical"))))</f>
        <v/>
      </c>
    </row>
    <row r="148">
      <c r="A148" t="inlineStr">
        <is>
          <t>IT147</t>
        </is>
      </c>
      <c r="B148" t="inlineStr">
        <is>
          <t>item_template</t>
        </is>
      </c>
      <c r="C148" t="inlineStr">
        <is>
          <t>tile</t>
        </is>
      </c>
      <c r="J148">
        <f>IF(G148="","",IFERROR(IF(G148="infusing",IFERROR(LOOKUP(2,1/ISNUMBER(SEARCH(_lookup!$D$3:$D$4,H148)),_lookup!$E$3:$E$4),"INT"),VLOOKUP(G148,_lookup!$A$3:$B$14,2,FALSE)),""))</f>
        <v/>
      </c>
      <c r="K148">
        <f>IF(F148&lt;&gt;"weapon","",IF(G148="miscellaneous","1-4",IF(I148="","",IFERROR(VLOOKUP(I148&amp;"|"&amp;IF(LEFT(H148,2)="2H",2,1)&amp;"|"&amp;IF(G148="slashing",1,0),_lookup!$G$3:$H$18,2,FALSE),""))))</f>
        <v/>
      </c>
      <c r="L148">
        <f>IF(K148="","",IF(OR(G148="channeling",G148="infusing"),"Magical",IF(G148="blocking","Anti-Physical",IF(G148="warding","Anti-Magical","Physical"))))</f>
        <v/>
      </c>
      <c r="O148">
        <f>IF(F148&lt;&gt;"armor","","TBD")</f>
        <v/>
      </c>
      <c r="P148">
        <f>IF(O148="","",IF(OR(G148="channeling",G148="infusing"),"Magical",IF(G148="blocking","Anti-Physical",IF(G148="warding","Anti-Magical","Physical"))))</f>
        <v/>
      </c>
    </row>
    <row r="149">
      <c r="A149" t="inlineStr">
        <is>
          <t>IT148</t>
        </is>
      </c>
      <c r="B149" t="inlineStr">
        <is>
          <t>item_template</t>
        </is>
      </c>
      <c r="C149" t="inlineStr">
        <is>
          <t>tile</t>
        </is>
      </c>
      <c r="J149">
        <f>IF(G149="","",IFERROR(IF(G149="infusing",IFERROR(LOOKUP(2,1/ISNUMBER(SEARCH(_lookup!$D$3:$D$4,H149)),_lookup!$E$3:$E$4),"INT"),VLOOKUP(G149,_lookup!$A$3:$B$14,2,FALSE)),""))</f>
        <v/>
      </c>
      <c r="K149">
        <f>IF(F149&lt;&gt;"weapon","",IF(G149="miscellaneous","1-4",IF(I149="","",IFERROR(VLOOKUP(I149&amp;"|"&amp;IF(LEFT(H149,2)="2H",2,1)&amp;"|"&amp;IF(G149="slashing",1,0),_lookup!$G$3:$H$18,2,FALSE),""))))</f>
        <v/>
      </c>
      <c r="L149">
        <f>IF(K149="","",IF(OR(G149="channeling",G149="infusing"),"Magical",IF(G149="blocking","Anti-Physical",IF(G149="warding","Anti-Magical","Physical"))))</f>
        <v/>
      </c>
      <c r="O149">
        <f>IF(F149&lt;&gt;"armor","","TBD")</f>
        <v/>
      </c>
      <c r="P149">
        <f>IF(O149="","",IF(OR(G149="channeling",G149="infusing"),"Magical",IF(G149="blocking","Anti-Physical",IF(G149="warding","Anti-Magical","Physical"))))</f>
        <v/>
      </c>
    </row>
    <row r="150">
      <c r="A150" t="inlineStr">
        <is>
          <t>IT149</t>
        </is>
      </c>
      <c r="B150" t="inlineStr">
        <is>
          <t>item_template</t>
        </is>
      </c>
      <c r="C150" t="inlineStr">
        <is>
          <t>tile</t>
        </is>
      </c>
      <c r="J150">
        <f>IF(G150="","",IFERROR(IF(G150="infusing",IFERROR(LOOKUP(2,1/ISNUMBER(SEARCH(_lookup!$D$3:$D$4,H150)),_lookup!$E$3:$E$4),"INT"),VLOOKUP(G150,_lookup!$A$3:$B$14,2,FALSE)),""))</f>
        <v/>
      </c>
      <c r="K150">
        <f>IF(F150&lt;&gt;"weapon","",IF(G150="miscellaneous","1-4",IF(I150="","",IFERROR(VLOOKUP(I150&amp;"|"&amp;IF(LEFT(H150,2)="2H",2,1)&amp;"|"&amp;IF(G150="slashing",1,0),_lookup!$G$3:$H$18,2,FALSE),""))))</f>
        <v/>
      </c>
      <c r="L150">
        <f>IF(K150="","",IF(OR(G150="channeling",G150="infusing"),"Magical",IF(G150="blocking","Anti-Physical",IF(G150="warding","Anti-Magical","Physical"))))</f>
        <v/>
      </c>
      <c r="O150">
        <f>IF(F150&lt;&gt;"armor","","TBD")</f>
        <v/>
      </c>
      <c r="P150">
        <f>IF(O150="","",IF(OR(G150="channeling",G150="infusing"),"Magical",IF(G150="blocking","Anti-Physical",IF(G150="warding","Anti-Magical","Physical"))))</f>
        <v/>
      </c>
    </row>
    <row r="151">
      <c r="A151" t="inlineStr">
        <is>
          <t>IT150</t>
        </is>
      </c>
      <c r="B151" t="inlineStr">
        <is>
          <t>item_template</t>
        </is>
      </c>
      <c r="C151" t="inlineStr">
        <is>
          <t>tile</t>
        </is>
      </c>
      <c r="J151">
        <f>IF(G151="","",IFERROR(IF(G151="infusing",IFERROR(LOOKUP(2,1/ISNUMBER(SEARCH(_lookup!$D$3:$D$4,H151)),_lookup!$E$3:$E$4),"INT"),VLOOKUP(G151,_lookup!$A$3:$B$14,2,FALSE)),""))</f>
        <v/>
      </c>
      <c r="K151">
        <f>IF(F151&lt;&gt;"weapon","",IF(G151="miscellaneous","1-4",IF(I151="","",IFERROR(VLOOKUP(I151&amp;"|"&amp;IF(LEFT(H151,2)="2H",2,1)&amp;"|"&amp;IF(G151="slashing",1,0),_lookup!$G$3:$H$18,2,FALSE),""))))</f>
        <v/>
      </c>
      <c r="L151">
        <f>IF(K151="","",IF(OR(G151="channeling",G151="infusing"),"Magical",IF(G151="blocking","Anti-Physical",IF(G151="warding","Anti-Magical","Physical"))))</f>
        <v/>
      </c>
      <c r="O151">
        <f>IF(F151&lt;&gt;"armor","","TBD")</f>
        <v/>
      </c>
      <c r="P151">
        <f>IF(O151="","",IF(OR(G151="channeling",G151="infusing"),"Magical",IF(G151="blocking","Anti-Physical",IF(G151="warding","Anti-Magical","Physical"))))</f>
        <v/>
      </c>
    </row>
    <row r="152">
      <c r="A152" t="inlineStr">
        <is>
          <t>IT151</t>
        </is>
      </c>
      <c r="B152" t="inlineStr">
        <is>
          <t>item_template</t>
        </is>
      </c>
      <c r="C152" t="inlineStr">
        <is>
          <t>tile</t>
        </is>
      </c>
      <c r="J152">
        <f>IF(G152="","",IFERROR(IF(G152="infusing",IFERROR(LOOKUP(2,1/ISNUMBER(SEARCH(_lookup!$D$3:$D$4,H152)),_lookup!$E$3:$E$4),"INT"),VLOOKUP(G152,_lookup!$A$3:$B$14,2,FALSE)),""))</f>
        <v/>
      </c>
      <c r="K152">
        <f>IF(F152&lt;&gt;"weapon","",IF(G152="miscellaneous","1-4",IF(I152="","",IFERROR(VLOOKUP(I152&amp;"|"&amp;IF(LEFT(H152,2)="2H",2,1)&amp;"|"&amp;IF(G152="slashing",1,0),_lookup!$G$3:$H$18,2,FALSE),""))))</f>
        <v/>
      </c>
      <c r="L152">
        <f>IF(K152="","",IF(OR(G152="channeling",G152="infusing"),"Magical",IF(G152="blocking","Anti-Physical",IF(G152="warding","Anti-Magical","Physical"))))</f>
        <v/>
      </c>
      <c r="O152">
        <f>IF(F152&lt;&gt;"armor","","TBD")</f>
        <v/>
      </c>
      <c r="P152">
        <f>IF(O152="","",IF(OR(G152="channeling",G152="infusing"),"Magical",IF(G152="blocking","Anti-Physical",IF(G152="warding","Anti-Magical","Physical"))))</f>
        <v/>
      </c>
    </row>
    <row r="153">
      <c r="A153" t="inlineStr">
        <is>
          <t>IT152</t>
        </is>
      </c>
      <c r="B153" t="inlineStr">
        <is>
          <t>item_template</t>
        </is>
      </c>
      <c r="C153" t="inlineStr">
        <is>
          <t>tile</t>
        </is>
      </c>
      <c r="J153">
        <f>IF(G153="","",IFERROR(IF(G153="infusing",IFERROR(LOOKUP(2,1/ISNUMBER(SEARCH(_lookup!$D$3:$D$4,H153)),_lookup!$E$3:$E$4),"INT"),VLOOKUP(G153,_lookup!$A$3:$B$14,2,FALSE)),""))</f>
        <v/>
      </c>
      <c r="K153">
        <f>IF(F153&lt;&gt;"weapon","",IF(G153="miscellaneous","1-4",IF(I153="","",IFERROR(VLOOKUP(I153&amp;"|"&amp;IF(LEFT(H153,2)="2H",2,1)&amp;"|"&amp;IF(G153="slashing",1,0),_lookup!$G$3:$H$18,2,FALSE),""))))</f>
        <v/>
      </c>
      <c r="L153">
        <f>IF(K153="","",IF(OR(G153="channeling",G153="infusing"),"Magical",IF(G153="blocking","Anti-Physical",IF(G153="warding","Anti-Magical","Physical"))))</f>
        <v/>
      </c>
      <c r="O153">
        <f>IF(F153&lt;&gt;"armor","","TBD")</f>
        <v/>
      </c>
      <c r="P153">
        <f>IF(O153="","",IF(OR(G153="channeling",G153="infusing"),"Magical",IF(G153="blocking","Anti-Physical",IF(G153="warding","Anti-Magical","Physical"))))</f>
        <v/>
      </c>
    </row>
    <row r="154">
      <c r="A154" t="inlineStr">
        <is>
          <t>IT153</t>
        </is>
      </c>
      <c r="B154" t="inlineStr">
        <is>
          <t>item_template</t>
        </is>
      </c>
      <c r="C154" t="inlineStr">
        <is>
          <t>tile</t>
        </is>
      </c>
      <c r="J154">
        <f>IF(G154="","",IFERROR(IF(G154="infusing",IFERROR(LOOKUP(2,1/ISNUMBER(SEARCH(_lookup!$D$3:$D$4,H154)),_lookup!$E$3:$E$4),"INT"),VLOOKUP(G154,_lookup!$A$3:$B$14,2,FALSE)),""))</f>
        <v/>
      </c>
      <c r="K154">
        <f>IF(F154&lt;&gt;"weapon","",IF(G154="miscellaneous","1-4",IF(I154="","",IFERROR(VLOOKUP(I154&amp;"|"&amp;IF(LEFT(H154,2)="2H",2,1)&amp;"|"&amp;IF(G154="slashing",1,0),_lookup!$G$3:$H$18,2,FALSE),""))))</f>
        <v/>
      </c>
      <c r="L154">
        <f>IF(K154="","",IF(OR(G154="channeling",G154="infusing"),"Magical",IF(G154="blocking","Anti-Physical",IF(G154="warding","Anti-Magical","Physical"))))</f>
        <v/>
      </c>
      <c r="O154">
        <f>IF(F154&lt;&gt;"armor","","TBD")</f>
        <v/>
      </c>
      <c r="P154">
        <f>IF(O154="","",IF(OR(G154="channeling",G154="infusing"),"Magical",IF(G154="blocking","Anti-Physical",IF(G154="warding","Anti-Magical","Physical"))))</f>
        <v/>
      </c>
    </row>
    <row r="155">
      <c r="A155" t="inlineStr">
        <is>
          <t>IT154</t>
        </is>
      </c>
      <c r="B155" t="inlineStr">
        <is>
          <t>item_template</t>
        </is>
      </c>
      <c r="C155" t="inlineStr">
        <is>
          <t>tile</t>
        </is>
      </c>
      <c r="J155">
        <f>IF(G155="","",IFERROR(IF(G155="infusing",IFERROR(LOOKUP(2,1/ISNUMBER(SEARCH(_lookup!$D$3:$D$4,H155)),_lookup!$E$3:$E$4),"INT"),VLOOKUP(G155,_lookup!$A$3:$B$14,2,FALSE)),""))</f>
        <v/>
      </c>
      <c r="K155">
        <f>IF(F155&lt;&gt;"weapon","",IF(G155="miscellaneous","1-4",IF(I155="","",IFERROR(VLOOKUP(I155&amp;"|"&amp;IF(LEFT(H155,2)="2H",2,1)&amp;"|"&amp;IF(G155="slashing",1,0),_lookup!$G$3:$H$18,2,FALSE),""))))</f>
        <v/>
      </c>
      <c r="L155">
        <f>IF(K155="","",IF(OR(G155="channeling",G155="infusing"),"Magical",IF(G155="blocking","Anti-Physical",IF(G155="warding","Anti-Magical","Physical"))))</f>
        <v/>
      </c>
      <c r="O155">
        <f>IF(F155&lt;&gt;"armor","","TBD")</f>
        <v/>
      </c>
      <c r="P155">
        <f>IF(O155="","",IF(OR(G155="channeling",G155="infusing"),"Magical",IF(G155="blocking","Anti-Physical",IF(G155="warding","Anti-Magical","Physical"))))</f>
        <v/>
      </c>
    </row>
    <row r="156">
      <c r="A156" t="inlineStr">
        <is>
          <t>IT155</t>
        </is>
      </c>
      <c r="B156" t="inlineStr">
        <is>
          <t>item_template</t>
        </is>
      </c>
      <c r="C156" t="inlineStr">
        <is>
          <t>tile</t>
        </is>
      </c>
      <c r="J156">
        <f>IF(G156="","",IFERROR(IF(G156="infusing",IFERROR(LOOKUP(2,1/ISNUMBER(SEARCH(_lookup!$D$3:$D$4,H156)),_lookup!$E$3:$E$4),"INT"),VLOOKUP(G156,_lookup!$A$3:$B$14,2,FALSE)),""))</f>
        <v/>
      </c>
      <c r="K156">
        <f>IF(F156&lt;&gt;"weapon","",IF(G156="miscellaneous","1-4",IF(I156="","",IFERROR(VLOOKUP(I156&amp;"|"&amp;IF(LEFT(H156,2)="2H",2,1)&amp;"|"&amp;IF(G156="slashing",1,0),_lookup!$G$3:$H$18,2,FALSE),""))))</f>
        <v/>
      </c>
      <c r="L156">
        <f>IF(K156="","",IF(OR(G156="channeling",G156="infusing"),"Magical",IF(G156="blocking","Anti-Physical",IF(G156="warding","Anti-Magical","Physical"))))</f>
        <v/>
      </c>
      <c r="O156">
        <f>IF(F156&lt;&gt;"armor","","TBD")</f>
        <v/>
      </c>
      <c r="P156">
        <f>IF(O156="","",IF(OR(G156="channeling",G156="infusing"),"Magical",IF(G156="blocking","Anti-Physical",IF(G156="warding","Anti-Magical","Physical"))))</f>
        <v/>
      </c>
    </row>
    <row r="157">
      <c r="A157" t="inlineStr">
        <is>
          <t>IT156</t>
        </is>
      </c>
      <c r="B157" t="inlineStr">
        <is>
          <t>item_template</t>
        </is>
      </c>
      <c r="C157" t="inlineStr">
        <is>
          <t>tile</t>
        </is>
      </c>
      <c r="J157">
        <f>IF(G157="","",IFERROR(IF(G157="infusing",IFERROR(LOOKUP(2,1/ISNUMBER(SEARCH(_lookup!$D$3:$D$4,H157)),_lookup!$E$3:$E$4),"INT"),VLOOKUP(G157,_lookup!$A$3:$B$14,2,FALSE)),""))</f>
        <v/>
      </c>
      <c r="K157">
        <f>IF(F157&lt;&gt;"weapon","",IF(G157="miscellaneous","1-4",IF(I157="","",IFERROR(VLOOKUP(I157&amp;"|"&amp;IF(LEFT(H157,2)="2H",2,1)&amp;"|"&amp;IF(G157="slashing",1,0),_lookup!$G$3:$H$18,2,FALSE),""))))</f>
        <v/>
      </c>
      <c r="L157">
        <f>IF(K157="","",IF(OR(G157="channeling",G157="infusing"),"Magical",IF(G157="blocking","Anti-Physical",IF(G157="warding","Anti-Magical","Physical"))))</f>
        <v/>
      </c>
      <c r="O157">
        <f>IF(F157&lt;&gt;"armor","","TBD")</f>
        <v/>
      </c>
      <c r="P157">
        <f>IF(O157="","",IF(OR(G157="channeling",G157="infusing"),"Magical",IF(G157="blocking","Anti-Physical",IF(G157="warding","Anti-Magical","Physical"))))</f>
        <v/>
      </c>
    </row>
    <row r="158">
      <c r="A158" t="inlineStr">
        <is>
          <t>IT157</t>
        </is>
      </c>
      <c r="B158" t="inlineStr">
        <is>
          <t>item_template</t>
        </is>
      </c>
      <c r="C158" t="inlineStr">
        <is>
          <t>tile</t>
        </is>
      </c>
      <c r="J158">
        <f>IF(G158="","",IFERROR(IF(G158="infusing",IFERROR(LOOKUP(2,1/ISNUMBER(SEARCH(_lookup!$D$3:$D$4,H158)),_lookup!$E$3:$E$4),"INT"),VLOOKUP(G158,_lookup!$A$3:$B$14,2,FALSE)),""))</f>
        <v/>
      </c>
      <c r="K158">
        <f>IF(F158&lt;&gt;"weapon","",IF(G158="miscellaneous","1-4",IF(I158="","",IFERROR(VLOOKUP(I158&amp;"|"&amp;IF(LEFT(H158,2)="2H",2,1)&amp;"|"&amp;IF(G158="slashing",1,0),_lookup!$G$3:$H$18,2,FALSE),""))))</f>
        <v/>
      </c>
      <c r="L158">
        <f>IF(K158="","",IF(OR(G158="channeling",G158="infusing"),"Magical",IF(G158="blocking","Anti-Physical",IF(G158="warding","Anti-Magical","Physical"))))</f>
        <v/>
      </c>
      <c r="O158">
        <f>IF(F158&lt;&gt;"armor","","TBD")</f>
        <v/>
      </c>
      <c r="P158">
        <f>IF(O158="","",IF(OR(G158="channeling",G158="infusing"),"Magical",IF(G158="blocking","Anti-Physical",IF(G158="warding","Anti-Magical","Physical"))))</f>
        <v/>
      </c>
    </row>
    <row r="159">
      <c r="A159" t="inlineStr">
        <is>
          <t>IT158</t>
        </is>
      </c>
      <c r="B159" t="inlineStr">
        <is>
          <t>item_template</t>
        </is>
      </c>
      <c r="C159" t="inlineStr">
        <is>
          <t>tile</t>
        </is>
      </c>
      <c r="J159">
        <f>IF(G159="","",IFERROR(IF(G159="infusing",IFERROR(LOOKUP(2,1/ISNUMBER(SEARCH(_lookup!$D$3:$D$4,H159)),_lookup!$E$3:$E$4),"INT"),VLOOKUP(G159,_lookup!$A$3:$B$14,2,FALSE)),""))</f>
        <v/>
      </c>
      <c r="K159">
        <f>IF(F159&lt;&gt;"weapon","",IF(G159="miscellaneous","1-4",IF(I159="","",IFERROR(VLOOKUP(I159&amp;"|"&amp;IF(LEFT(H159,2)="2H",2,1)&amp;"|"&amp;IF(G159="slashing",1,0),_lookup!$G$3:$H$18,2,FALSE),""))))</f>
        <v/>
      </c>
      <c r="L159">
        <f>IF(K159="","",IF(OR(G159="channeling",G159="infusing"),"Magical",IF(G159="blocking","Anti-Physical",IF(G159="warding","Anti-Magical","Physical"))))</f>
        <v/>
      </c>
      <c r="O159">
        <f>IF(F159&lt;&gt;"armor","","TBD")</f>
        <v/>
      </c>
      <c r="P159">
        <f>IF(O159="","",IF(OR(G159="channeling",G159="infusing"),"Magical",IF(G159="blocking","Anti-Physical",IF(G159="warding","Anti-Magical","Physical"))))</f>
        <v/>
      </c>
    </row>
    <row r="160">
      <c r="A160" t="inlineStr">
        <is>
          <t>IT159</t>
        </is>
      </c>
      <c r="B160" t="inlineStr">
        <is>
          <t>item_template</t>
        </is>
      </c>
      <c r="C160" t="inlineStr">
        <is>
          <t>tile</t>
        </is>
      </c>
      <c r="J160">
        <f>IF(G160="","",IFERROR(IF(G160="infusing",IFERROR(LOOKUP(2,1/ISNUMBER(SEARCH(_lookup!$D$3:$D$4,H160)),_lookup!$E$3:$E$4),"INT"),VLOOKUP(G160,_lookup!$A$3:$B$14,2,FALSE)),""))</f>
        <v/>
      </c>
      <c r="K160">
        <f>IF(F160&lt;&gt;"weapon","",IF(G160="miscellaneous","1-4",IF(I160="","",IFERROR(VLOOKUP(I160&amp;"|"&amp;IF(LEFT(H160,2)="2H",2,1)&amp;"|"&amp;IF(G160="slashing",1,0),_lookup!$G$3:$H$18,2,FALSE),""))))</f>
        <v/>
      </c>
      <c r="L160">
        <f>IF(K160="","",IF(OR(G160="channeling",G160="infusing"),"Magical",IF(G160="blocking","Anti-Physical",IF(G160="warding","Anti-Magical","Physical"))))</f>
        <v/>
      </c>
      <c r="O160">
        <f>IF(F160&lt;&gt;"armor","","TBD")</f>
        <v/>
      </c>
      <c r="P160">
        <f>IF(O160="","",IF(OR(G160="channeling",G160="infusing"),"Magical",IF(G160="blocking","Anti-Physical",IF(G160="warding","Anti-Magical","Physical"))))</f>
        <v/>
      </c>
    </row>
    <row r="161">
      <c r="A161" t="inlineStr">
        <is>
          <t>IT160</t>
        </is>
      </c>
      <c r="B161" t="inlineStr">
        <is>
          <t>item_template</t>
        </is>
      </c>
      <c r="C161" t="inlineStr">
        <is>
          <t>tile</t>
        </is>
      </c>
      <c r="J161">
        <f>IF(G161="","",IFERROR(IF(G161="infusing",IFERROR(LOOKUP(2,1/ISNUMBER(SEARCH(_lookup!$D$3:$D$4,H161)),_lookup!$E$3:$E$4),"INT"),VLOOKUP(G161,_lookup!$A$3:$B$14,2,FALSE)),""))</f>
        <v/>
      </c>
      <c r="K161">
        <f>IF(F161&lt;&gt;"weapon","",IF(G161="miscellaneous","1-4",IF(I161="","",IFERROR(VLOOKUP(I161&amp;"|"&amp;IF(LEFT(H161,2)="2H",2,1)&amp;"|"&amp;IF(G161="slashing",1,0),_lookup!$G$3:$H$18,2,FALSE),""))))</f>
        <v/>
      </c>
      <c r="L161">
        <f>IF(K161="","",IF(OR(G161="channeling",G161="infusing"),"Magical",IF(G161="blocking","Anti-Physical",IF(G161="warding","Anti-Magical","Physical"))))</f>
        <v/>
      </c>
      <c r="O161">
        <f>IF(F161&lt;&gt;"armor","","TBD")</f>
        <v/>
      </c>
      <c r="P161">
        <f>IF(O161="","",IF(OR(G161="channeling",G161="infusing"),"Magical",IF(G161="blocking","Anti-Physical",IF(G161="warding","Anti-Magical","Physical"))))</f>
        <v/>
      </c>
    </row>
    <row r="162">
      <c r="A162" t="inlineStr">
        <is>
          <t>IT161</t>
        </is>
      </c>
      <c r="B162" t="inlineStr">
        <is>
          <t>item_template</t>
        </is>
      </c>
      <c r="C162" t="inlineStr">
        <is>
          <t>tile</t>
        </is>
      </c>
      <c r="J162">
        <f>IF(G162="","",IFERROR(IF(G162="infusing",IFERROR(LOOKUP(2,1/ISNUMBER(SEARCH(_lookup!$D$3:$D$4,H162)),_lookup!$E$3:$E$4),"INT"),VLOOKUP(G162,_lookup!$A$3:$B$14,2,FALSE)),""))</f>
        <v/>
      </c>
      <c r="K162">
        <f>IF(F162&lt;&gt;"weapon","",IF(G162="miscellaneous","1-4",IF(I162="","",IFERROR(VLOOKUP(I162&amp;"|"&amp;IF(LEFT(H162,2)="2H",2,1)&amp;"|"&amp;IF(G162="slashing",1,0),_lookup!$G$3:$H$18,2,FALSE),""))))</f>
        <v/>
      </c>
      <c r="L162">
        <f>IF(K162="","",IF(OR(G162="channeling",G162="infusing"),"Magical",IF(G162="blocking","Anti-Physical",IF(G162="warding","Anti-Magical","Physical"))))</f>
        <v/>
      </c>
      <c r="O162">
        <f>IF(F162&lt;&gt;"armor","","TBD")</f>
        <v/>
      </c>
      <c r="P162">
        <f>IF(O162="","",IF(OR(G162="channeling",G162="infusing"),"Magical",IF(G162="blocking","Anti-Physical",IF(G162="warding","Anti-Magical","Physical"))))</f>
        <v/>
      </c>
    </row>
    <row r="163">
      <c r="A163" t="inlineStr">
        <is>
          <t>IT162</t>
        </is>
      </c>
      <c r="B163" t="inlineStr">
        <is>
          <t>item_template</t>
        </is>
      </c>
      <c r="C163" t="inlineStr">
        <is>
          <t>tile</t>
        </is>
      </c>
      <c r="J163">
        <f>IF(G163="","",IFERROR(IF(G163="infusing",IFERROR(LOOKUP(2,1/ISNUMBER(SEARCH(_lookup!$D$3:$D$4,H163)),_lookup!$E$3:$E$4),"INT"),VLOOKUP(G163,_lookup!$A$3:$B$14,2,FALSE)),""))</f>
        <v/>
      </c>
      <c r="K163">
        <f>IF(F163&lt;&gt;"weapon","",IF(G163="miscellaneous","1-4",IF(I163="","",IFERROR(VLOOKUP(I163&amp;"|"&amp;IF(LEFT(H163,2)="2H",2,1)&amp;"|"&amp;IF(G163="slashing",1,0),_lookup!$G$3:$H$18,2,FALSE),""))))</f>
        <v/>
      </c>
      <c r="L163">
        <f>IF(K163="","",IF(OR(G163="channeling",G163="infusing"),"Magical",IF(G163="blocking","Anti-Physical",IF(G163="warding","Anti-Magical","Physical"))))</f>
        <v/>
      </c>
      <c r="O163">
        <f>IF(F163&lt;&gt;"armor","","TBD")</f>
        <v/>
      </c>
      <c r="P163">
        <f>IF(O163="","",IF(OR(G163="channeling",G163="infusing"),"Magical",IF(G163="blocking","Anti-Physical",IF(G163="warding","Anti-Magical","Physical"))))</f>
        <v/>
      </c>
    </row>
    <row r="164">
      <c r="A164" t="inlineStr">
        <is>
          <t>IT163</t>
        </is>
      </c>
      <c r="B164" t="inlineStr">
        <is>
          <t>item_template</t>
        </is>
      </c>
      <c r="C164" t="inlineStr">
        <is>
          <t>tile</t>
        </is>
      </c>
      <c r="J164">
        <f>IF(G164="","",IFERROR(IF(G164="infusing",IFERROR(LOOKUP(2,1/ISNUMBER(SEARCH(_lookup!$D$3:$D$4,H164)),_lookup!$E$3:$E$4),"INT"),VLOOKUP(G164,_lookup!$A$3:$B$14,2,FALSE)),""))</f>
        <v/>
      </c>
      <c r="K164">
        <f>IF(F164&lt;&gt;"weapon","",IF(G164="miscellaneous","1-4",IF(I164="","",IFERROR(VLOOKUP(I164&amp;"|"&amp;IF(LEFT(H164,2)="2H",2,1)&amp;"|"&amp;IF(G164="slashing",1,0),_lookup!$G$3:$H$18,2,FALSE),""))))</f>
        <v/>
      </c>
      <c r="L164">
        <f>IF(K164="","",IF(OR(G164="channeling",G164="infusing"),"Magical",IF(G164="blocking","Anti-Physical",IF(G164="warding","Anti-Magical","Physical"))))</f>
        <v/>
      </c>
      <c r="O164">
        <f>IF(F164&lt;&gt;"armor","","TBD")</f>
        <v/>
      </c>
      <c r="P164">
        <f>IF(O164="","",IF(OR(G164="channeling",G164="infusing"),"Magical",IF(G164="blocking","Anti-Physical",IF(G164="warding","Anti-Magical","Physical"))))</f>
        <v/>
      </c>
    </row>
    <row r="165">
      <c r="A165" t="inlineStr">
        <is>
          <t>IT164</t>
        </is>
      </c>
      <c r="B165" t="inlineStr">
        <is>
          <t>item_template</t>
        </is>
      </c>
      <c r="C165" t="inlineStr">
        <is>
          <t>tile</t>
        </is>
      </c>
      <c r="J165">
        <f>IF(G165="","",IFERROR(IF(G165="infusing",IFERROR(LOOKUP(2,1/ISNUMBER(SEARCH(_lookup!$D$3:$D$4,H165)),_lookup!$E$3:$E$4),"INT"),VLOOKUP(G165,_lookup!$A$3:$B$14,2,FALSE)),""))</f>
        <v/>
      </c>
      <c r="K165">
        <f>IF(F165&lt;&gt;"weapon","",IF(G165="miscellaneous","1-4",IF(I165="","",IFERROR(VLOOKUP(I165&amp;"|"&amp;IF(LEFT(H165,2)="2H",2,1)&amp;"|"&amp;IF(G165="slashing",1,0),_lookup!$G$3:$H$18,2,FALSE),""))))</f>
        <v/>
      </c>
      <c r="L165">
        <f>IF(K165="","",IF(OR(G165="channeling",G165="infusing"),"Magical",IF(G165="blocking","Anti-Physical",IF(G165="warding","Anti-Magical","Physical"))))</f>
        <v/>
      </c>
      <c r="O165">
        <f>IF(F165&lt;&gt;"armor","","TBD")</f>
        <v/>
      </c>
      <c r="P165">
        <f>IF(O165="","",IF(OR(G165="channeling",G165="infusing"),"Magical",IF(G165="blocking","Anti-Physical",IF(G165="warding","Anti-Magical","Physical"))))</f>
        <v/>
      </c>
    </row>
    <row r="166">
      <c r="A166" t="inlineStr">
        <is>
          <t>IT165</t>
        </is>
      </c>
      <c r="B166" t="inlineStr">
        <is>
          <t>item_template</t>
        </is>
      </c>
      <c r="C166" t="inlineStr">
        <is>
          <t>tile</t>
        </is>
      </c>
      <c r="J166">
        <f>IF(G166="","",IFERROR(IF(G166="infusing",IFERROR(LOOKUP(2,1/ISNUMBER(SEARCH(_lookup!$D$3:$D$4,H166)),_lookup!$E$3:$E$4),"INT"),VLOOKUP(G166,_lookup!$A$3:$B$14,2,FALSE)),""))</f>
        <v/>
      </c>
      <c r="K166">
        <f>IF(F166&lt;&gt;"weapon","",IF(G166="miscellaneous","1-4",IF(I166="","",IFERROR(VLOOKUP(I166&amp;"|"&amp;IF(LEFT(H166,2)="2H",2,1)&amp;"|"&amp;IF(G166="slashing",1,0),_lookup!$G$3:$H$18,2,FALSE),""))))</f>
        <v/>
      </c>
      <c r="L166">
        <f>IF(K166="","",IF(OR(G166="channeling",G166="infusing"),"Magical",IF(G166="blocking","Anti-Physical",IF(G166="warding","Anti-Magical","Physical"))))</f>
        <v/>
      </c>
      <c r="O166">
        <f>IF(F166&lt;&gt;"armor","","TBD")</f>
        <v/>
      </c>
      <c r="P166">
        <f>IF(O166="","",IF(OR(G166="channeling",G166="infusing"),"Magical",IF(G166="blocking","Anti-Physical",IF(G166="warding","Anti-Magical","Physical"))))</f>
        <v/>
      </c>
    </row>
    <row r="167">
      <c r="A167" t="inlineStr">
        <is>
          <t>IT166</t>
        </is>
      </c>
      <c r="B167" t="inlineStr">
        <is>
          <t>item_template</t>
        </is>
      </c>
      <c r="C167" t="inlineStr">
        <is>
          <t>tile</t>
        </is>
      </c>
      <c r="J167">
        <f>IF(G167="","",IFERROR(IF(G167="infusing",IFERROR(LOOKUP(2,1/ISNUMBER(SEARCH(_lookup!$D$3:$D$4,H167)),_lookup!$E$3:$E$4),"INT"),VLOOKUP(G167,_lookup!$A$3:$B$14,2,FALSE)),""))</f>
        <v/>
      </c>
      <c r="K167">
        <f>IF(F167&lt;&gt;"weapon","",IF(G167="miscellaneous","1-4",IF(I167="","",IFERROR(VLOOKUP(I167&amp;"|"&amp;IF(LEFT(H167,2)="2H",2,1)&amp;"|"&amp;IF(G167="slashing",1,0),_lookup!$G$3:$H$18,2,FALSE),""))))</f>
        <v/>
      </c>
      <c r="L167">
        <f>IF(K167="","",IF(OR(G167="channeling",G167="infusing"),"Magical",IF(G167="blocking","Anti-Physical",IF(G167="warding","Anti-Magical","Physical"))))</f>
        <v/>
      </c>
      <c r="O167">
        <f>IF(F167&lt;&gt;"armor","","TBD")</f>
        <v/>
      </c>
      <c r="P167">
        <f>IF(O167="","",IF(OR(G167="channeling",G167="infusing"),"Magical",IF(G167="blocking","Anti-Physical",IF(G167="warding","Anti-Magical","Physical"))))</f>
        <v/>
      </c>
    </row>
    <row r="168">
      <c r="A168" t="inlineStr">
        <is>
          <t>IT167</t>
        </is>
      </c>
      <c r="B168" t="inlineStr">
        <is>
          <t>item_template</t>
        </is>
      </c>
      <c r="C168" t="inlineStr">
        <is>
          <t>tile</t>
        </is>
      </c>
      <c r="J168">
        <f>IF(G168="","",IFERROR(IF(G168="infusing",IFERROR(LOOKUP(2,1/ISNUMBER(SEARCH(_lookup!$D$3:$D$4,H168)),_lookup!$E$3:$E$4),"INT"),VLOOKUP(G168,_lookup!$A$3:$B$14,2,FALSE)),""))</f>
        <v/>
      </c>
      <c r="K168">
        <f>IF(F168&lt;&gt;"weapon","",IF(G168="miscellaneous","1-4",IF(I168="","",IFERROR(VLOOKUP(I168&amp;"|"&amp;IF(LEFT(H168,2)="2H",2,1)&amp;"|"&amp;IF(G168="slashing",1,0),_lookup!$G$3:$H$18,2,FALSE),""))))</f>
        <v/>
      </c>
      <c r="L168">
        <f>IF(K168="","",IF(OR(G168="channeling",G168="infusing"),"Magical",IF(G168="blocking","Anti-Physical",IF(G168="warding","Anti-Magical","Physical"))))</f>
        <v/>
      </c>
      <c r="O168">
        <f>IF(F168&lt;&gt;"armor","","TBD")</f>
        <v/>
      </c>
      <c r="P168">
        <f>IF(O168="","",IF(OR(G168="channeling",G168="infusing"),"Magical",IF(G168="blocking","Anti-Physical",IF(G168="warding","Anti-Magical","Physical"))))</f>
        <v/>
      </c>
    </row>
    <row r="169">
      <c r="A169" t="inlineStr">
        <is>
          <t>IT168</t>
        </is>
      </c>
      <c r="B169" t="inlineStr">
        <is>
          <t>item_template</t>
        </is>
      </c>
      <c r="C169" t="inlineStr">
        <is>
          <t>tile</t>
        </is>
      </c>
      <c r="J169">
        <f>IF(G169="","",IFERROR(IF(G169="infusing",IFERROR(LOOKUP(2,1/ISNUMBER(SEARCH(_lookup!$D$3:$D$4,H169)),_lookup!$E$3:$E$4),"INT"),VLOOKUP(G169,_lookup!$A$3:$B$14,2,FALSE)),""))</f>
        <v/>
      </c>
      <c r="K169">
        <f>IF(F169&lt;&gt;"weapon","",IF(G169="miscellaneous","1-4",IF(I169="","",IFERROR(VLOOKUP(I169&amp;"|"&amp;IF(LEFT(H169,2)="2H",2,1)&amp;"|"&amp;IF(G169="slashing",1,0),_lookup!$G$3:$H$18,2,FALSE),""))))</f>
        <v/>
      </c>
      <c r="L169">
        <f>IF(K169="","",IF(OR(G169="channeling",G169="infusing"),"Magical",IF(G169="blocking","Anti-Physical",IF(G169="warding","Anti-Magical","Physical"))))</f>
        <v/>
      </c>
      <c r="O169">
        <f>IF(F169&lt;&gt;"armor","","TBD")</f>
        <v/>
      </c>
      <c r="P169">
        <f>IF(O169="","",IF(OR(G169="channeling",G169="infusing"),"Magical",IF(G169="blocking","Anti-Physical",IF(G169="warding","Anti-Magical","Physical"))))</f>
        <v/>
      </c>
    </row>
    <row r="170">
      <c r="A170" t="inlineStr">
        <is>
          <t>IT169</t>
        </is>
      </c>
      <c r="B170" t="inlineStr">
        <is>
          <t>item_template</t>
        </is>
      </c>
      <c r="C170" t="inlineStr">
        <is>
          <t>tile</t>
        </is>
      </c>
      <c r="J170">
        <f>IF(G170="","",IFERROR(IF(G170="infusing",IFERROR(LOOKUP(2,1/ISNUMBER(SEARCH(_lookup!$D$3:$D$4,H170)),_lookup!$E$3:$E$4),"INT"),VLOOKUP(G170,_lookup!$A$3:$B$14,2,FALSE)),""))</f>
        <v/>
      </c>
      <c r="K170">
        <f>IF(F170&lt;&gt;"weapon","",IF(G170="miscellaneous","1-4",IF(I170="","",IFERROR(VLOOKUP(I170&amp;"|"&amp;IF(LEFT(H170,2)="2H",2,1)&amp;"|"&amp;IF(G170="slashing",1,0),_lookup!$G$3:$H$18,2,FALSE),""))))</f>
        <v/>
      </c>
      <c r="L170">
        <f>IF(K170="","",IF(OR(G170="channeling",G170="infusing"),"Magical",IF(G170="blocking","Anti-Physical",IF(G170="warding","Anti-Magical","Physical"))))</f>
        <v/>
      </c>
      <c r="O170">
        <f>IF(F170&lt;&gt;"armor","","TBD")</f>
        <v/>
      </c>
      <c r="P170">
        <f>IF(O170="","",IF(OR(G170="channeling",G170="infusing"),"Magical",IF(G170="blocking","Anti-Physical",IF(G170="warding","Anti-Magical","Physical"))))</f>
        <v/>
      </c>
    </row>
    <row r="171">
      <c r="A171" t="inlineStr">
        <is>
          <t>IT170</t>
        </is>
      </c>
      <c r="B171" t="inlineStr">
        <is>
          <t>item_template</t>
        </is>
      </c>
      <c r="C171" t="inlineStr">
        <is>
          <t>tile</t>
        </is>
      </c>
      <c r="J171">
        <f>IF(G171="","",IFERROR(IF(G171="infusing",IFERROR(LOOKUP(2,1/ISNUMBER(SEARCH(_lookup!$D$3:$D$4,H171)),_lookup!$E$3:$E$4),"INT"),VLOOKUP(G171,_lookup!$A$3:$B$14,2,FALSE)),""))</f>
        <v/>
      </c>
      <c r="K171">
        <f>IF(F171&lt;&gt;"weapon","",IF(G171="miscellaneous","1-4",IF(I171="","",IFERROR(VLOOKUP(I171&amp;"|"&amp;IF(LEFT(H171,2)="2H",2,1)&amp;"|"&amp;IF(G171="slashing",1,0),_lookup!$G$3:$H$18,2,FALSE),""))))</f>
        <v/>
      </c>
      <c r="L171">
        <f>IF(K171="","",IF(OR(G171="channeling",G171="infusing"),"Magical",IF(G171="blocking","Anti-Physical",IF(G171="warding","Anti-Magical","Physical"))))</f>
        <v/>
      </c>
      <c r="O171">
        <f>IF(F171&lt;&gt;"armor","","TBD")</f>
        <v/>
      </c>
      <c r="P171">
        <f>IF(O171="","",IF(OR(G171="channeling",G171="infusing"),"Magical",IF(G171="blocking","Anti-Physical",IF(G171="warding","Anti-Magical","Physical"))))</f>
        <v/>
      </c>
    </row>
    <row r="172">
      <c r="A172" t="inlineStr">
        <is>
          <t>IT171</t>
        </is>
      </c>
      <c r="B172" t="inlineStr">
        <is>
          <t>item_template</t>
        </is>
      </c>
      <c r="C172" t="inlineStr">
        <is>
          <t>tile</t>
        </is>
      </c>
      <c r="J172">
        <f>IF(G172="","",IFERROR(IF(G172="infusing",IFERROR(LOOKUP(2,1/ISNUMBER(SEARCH(_lookup!$D$3:$D$4,H172)),_lookup!$E$3:$E$4),"INT"),VLOOKUP(G172,_lookup!$A$3:$B$14,2,FALSE)),""))</f>
        <v/>
      </c>
      <c r="K172">
        <f>IF(F172&lt;&gt;"weapon","",IF(G172="miscellaneous","1-4",IF(I172="","",IFERROR(VLOOKUP(I172&amp;"|"&amp;IF(LEFT(H172,2)="2H",2,1)&amp;"|"&amp;IF(G172="slashing",1,0),_lookup!$G$3:$H$18,2,FALSE),""))))</f>
        <v/>
      </c>
      <c r="L172">
        <f>IF(K172="","",IF(OR(G172="channeling",G172="infusing"),"Magical",IF(G172="blocking","Anti-Physical",IF(G172="warding","Anti-Magical","Physical"))))</f>
        <v/>
      </c>
      <c r="O172">
        <f>IF(F172&lt;&gt;"armor","","TBD")</f>
        <v/>
      </c>
      <c r="P172">
        <f>IF(O172="","",IF(OR(G172="channeling",G172="infusing"),"Magical",IF(G172="blocking","Anti-Physical",IF(G172="warding","Anti-Magical","Physical"))))</f>
        <v/>
      </c>
    </row>
    <row r="173">
      <c r="A173" t="inlineStr">
        <is>
          <t>IT172</t>
        </is>
      </c>
      <c r="B173" t="inlineStr">
        <is>
          <t>item_template</t>
        </is>
      </c>
      <c r="C173" t="inlineStr">
        <is>
          <t>tile</t>
        </is>
      </c>
      <c r="J173">
        <f>IF(G173="","",IFERROR(IF(G173="infusing",IFERROR(LOOKUP(2,1/ISNUMBER(SEARCH(_lookup!$D$3:$D$4,H173)),_lookup!$E$3:$E$4),"INT"),VLOOKUP(G173,_lookup!$A$3:$B$14,2,FALSE)),""))</f>
        <v/>
      </c>
      <c r="K173">
        <f>IF(F173&lt;&gt;"weapon","",IF(G173="miscellaneous","1-4",IF(I173="","",IFERROR(VLOOKUP(I173&amp;"|"&amp;IF(LEFT(H173,2)="2H",2,1)&amp;"|"&amp;IF(G173="slashing",1,0),_lookup!$G$3:$H$18,2,FALSE),""))))</f>
        <v/>
      </c>
      <c r="L173">
        <f>IF(K173="","",IF(OR(G173="channeling",G173="infusing"),"Magical",IF(G173="blocking","Anti-Physical",IF(G173="warding","Anti-Magical","Physical"))))</f>
        <v/>
      </c>
      <c r="O173">
        <f>IF(F173&lt;&gt;"armor","","TBD")</f>
        <v/>
      </c>
      <c r="P173">
        <f>IF(O173="","",IF(OR(G173="channeling",G173="infusing"),"Magical",IF(G173="blocking","Anti-Physical",IF(G173="warding","Anti-Magical","Physical"))))</f>
        <v/>
      </c>
    </row>
    <row r="174">
      <c r="A174" t="inlineStr">
        <is>
          <t>IT173</t>
        </is>
      </c>
      <c r="B174" t="inlineStr">
        <is>
          <t>item_template</t>
        </is>
      </c>
      <c r="C174" t="inlineStr">
        <is>
          <t>tile</t>
        </is>
      </c>
      <c r="J174">
        <f>IF(G174="","",IFERROR(IF(G174="infusing",IFERROR(LOOKUP(2,1/ISNUMBER(SEARCH(_lookup!$D$3:$D$4,H174)),_lookup!$E$3:$E$4),"INT"),VLOOKUP(G174,_lookup!$A$3:$B$14,2,FALSE)),""))</f>
        <v/>
      </c>
      <c r="K174">
        <f>IF(F174&lt;&gt;"weapon","",IF(G174="miscellaneous","1-4",IF(I174="","",IFERROR(VLOOKUP(I174&amp;"|"&amp;IF(LEFT(H174,2)="2H",2,1)&amp;"|"&amp;IF(G174="slashing",1,0),_lookup!$G$3:$H$18,2,FALSE),""))))</f>
        <v/>
      </c>
      <c r="L174">
        <f>IF(K174="","",IF(OR(G174="channeling",G174="infusing"),"Magical",IF(G174="blocking","Anti-Physical",IF(G174="warding","Anti-Magical","Physical"))))</f>
        <v/>
      </c>
      <c r="O174">
        <f>IF(F174&lt;&gt;"armor","","TBD")</f>
        <v/>
      </c>
      <c r="P174">
        <f>IF(O174="","",IF(OR(G174="channeling",G174="infusing"),"Magical",IF(G174="blocking","Anti-Physical",IF(G174="warding","Anti-Magical","Physical"))))</f>
        <v/>
      </c>
    </row>
    <row r="175">
      <c r="A175" t="inlineStr">
        <is>
          <t>IT174</t>
        </is>
      </c>
      <c r="B175" t="inlineStr">
        <is>
          <t>item_template</t>
        </is>
      </c>
      <c r="C175" t="inlineStr">
        <is>
          <t>tile</t>
        </is>
      </c>
      <c r="J175">
        <f>IF(G175="","",IFERROR(IF(G175="infusing",IFERROR(LOOKUP(2,1/ISNUMBER(SEARCH(_lookup!$D$3:$D$4,H175)),_lookup!$E$3:$E$4),"INT"),VLOOKUP(G175,_lookup!$A$3:$B$14,2,FALSE)),""))</f>
        <v/>
      </c>
      <c r="K175">
        <f>IF(F175&lt;&gt;"weapon","",IF(G175="miscellaneous","1-4",IF(I175="","",IFERROR(VLOOKUP(I175&amp;"|"&amp;IF(LEFT(H175,2)="2H",2,1)&amp;"|"&amp;IF(G175="slashing",1,0),_lookup!$G$3:$H$18,2,FALSE),""))))</f>
        <v/>
      </c>
      <c r="L175">
        <f>IF(K175="","",IF(OR(G175="channeling",G175="infusing"),"Magical",IF(G175="blocking","Anti-Physical",IF(G175="warding","Anti-Magical","Physical"))))</f>
        <v/>
      </c>
      <c r="O175">
        <f>IF(F175&lt;&gt;"armor","","TBD")</f>
        <v/>
      </c>
      <c r="P175">
        <f>IF(O175="","",IF(OR(G175="channeling",G175="infusing"),"Magical",IF(G175="blocking","Anti-Physical",IF(G175="warding","Anti-Magical","Physical"))))</f>
        <v/>
      </c>
    </row>
    <row r="176">
      <c r="A176" t="inlineStr">
        <is>
          <t>IT175</t>
        </is>
      </c>
      <c r="B176" t="inlineStr">
        <is>
          <t>item_template</t>
        </is>
      </c>
      <c r="C176" t="inlineStr">
        <is>
          <t>tile</t>
        </is>
      </c>
      <c r="J176">
        <f>IF(G176="","",IFERROR(IF(G176="infusing",IFERROR(LOOKUP(2,1/ISNUMBER(SEARCH(_lookup!$D$3:$D$4,H176)),_lookup!$E$3:$E$4),"INT"),VLOOKUP(G176,_lookup!$A$3:$B$14,2,FALSE)),""))</f>
        <v/>
      </c>
      <c r="K176">
        <f>IF(F176&lt;&gt;"weapon","",IF(G176="miscellaneous","1-4",IF(I176="","",IFERROR(VLOOKUP(I176&amp;"|"&amp;IF(LEFT(H176,2)="2H",2,1)&amp;"|"&amp;IF(G176="slashing",1,0),_lookup!$G$3:$H$18,2,FALSE),""))))</f>
        <v/>
      </c>
      <c r="L176">
        <f>IF(K176="","",IF(OR(G176="channeling",G176="infusing"),"Magical",IF(G176="blocking","Anti-Physical",IF(G176="warding","Anti-Magical","Physical"))))</f>
        <v/>
      </c>
      <c r="O176">
        <f>IF(F176&lt;&gt;"armor","","TBD")</f>
        <v/>
      </c>
      <c r="P176">
        <f>IF(O176="","",IF(OR(G176="channeling",G176="infusing"),"Magical",IF(G176="blocking","Anti-Physical",IF(G176="warding","Anti-Magical","Physical"))))</f>
        <v/>
      </c>
    </row>
    <row r="177">
      <c r="A177" t="inlineStr">
        <is>
          <t>IT176</t>
        </is>
      </c>
      <c r="B177" t="inlineStr">
        <is>
          <t>item_template</t>
        </is>
      </c>
      <c r="C177" t="inlineStr">
        <is>
          <t>tile</t>
        </is>
      </c>
      <c r="J177">
        <f>IF(G177="","",IFERROR(IF(G177="infusing",IFERROR(LOOKUP(2,1/ISNUMBER(SEARCH(_lookup!$D$3:$D$4,H177)),_lookup!$E$3:$E$4),"INT"),VLOOKUP(G177,_lookup!$A$3:$B$14,2,FALSE)),""))</f>
        <v/>
      </c>
      <c r="K177">
        <f>IF(F177&lt;&gt;"weapon","",IF(G177="miscellaneous","1-4",IF(I177="","",IFERROR(VLOOKUP(I177&amp;"|"&amp;IF(LEFT(H177,2)="2H",2,1)&amp;"|"&amp;IF(G177="slashing",1,0),_lookup!$G$3:$H$18,2,FALSE),""))))</f>
        <v/>
      </c>
      <c r="L177">
        <f>IF(K177="","",IF(OR(G177="channeling",G177="infusing"),"Magical",IF(G177="blocking","Anti-Physical",IF(G177="warding","Anti-Magical","Physical"))))</f>
        <v/>
      </c>
      <c r="O177">
        <f>IF(F177&lt;&gt;"armor","","TBD")</f>
        <v/>
      </c>
      <c r="P177">
        <f>IF(O177="","",IF(OR(G177="channeling",G177="infusing"),"Magical",IF(G177="blocking","Anti-Physical",IF(G177="warding","Anti-Magical","Physical"))))</f>
        <v/>
      </c>
    </row>
    <row r="178">
      <c r="A178" t="inlineStr">
        <is>
          <t>IT177</t>
        </is>
      </c>
      <c r="B178" t="inlineStr">
        <is>
          <t>item_template</t>
        </is>
      </c>
      <c r="C178" t="inlineStr">
        <is>
          <t>tile</t>
        </is>
      </c>
      <c r="J178">
        <f>IF(G178="","",IFERROR(IF(G178="infusing",IFERROR(LOOKUP(2,1/ISNUMBER(SEARCH(_lookup!$D$3:$D$4,H178)),_lookup!$E$3:$E$4),"INT"),VLOOKUP(G178,_lookup!$A$3:$B$14,2,FALSE)),""))</f>
        <v/>
      </c>
      <c r="K178">
        <f>IF(F178&lt;&gt;"weapon","",IF(G178="miscellaneous","1-4",IF(I178="","",IFERROR(VLOOKUP(I178&amp;"|"&amp;IF(LEFT(H178,2)="2H",2,1)&amp;"|"&amp;IF(G178="slashing",1,0),_lookup!$G$3:$H$18,2,FALSE),""))))</f>
        <v/>
      </c>
      <c r="L178">
        <f>IF(K178="","",IF(OR(G178="channeling",G178="infusing"),"Magical",IF(G178="blocking","Anti-Physical",IF(G178="warding","Anti-Magical","Physical"))))</f>
        <v/>
      </c>
      <c r="O178">
        <f>IF(F178&lt;&gt;"armor","","TBD")</f>
        <v/>
      </c>
      <c r="P178">
        <f>IF(O178="","",IF(OR(G178="channeling",G178="infusing"),"Magical",IF(G178="blocking","Anti-Physical",IF(G178="warding","Anti-Magical","Physical"))))</f>
        <v/>
      </c>
    </row>
    <row r="179">
      <c r="A179" t="inlineStr">
        <is>
          <t>IT178</t>
        </is>
      </c>
      <c r="B179" t="inlineStr">
        <is>
          <t>item_template</t>
        </is>
      </c>
      <c r="C179" t="inlineStr">
        <is>
          <t>tile</t>
        </is>
      </c>
      <c r="J179">
        <f>IF(G179="","",IFERROR(IF(G179="infusing",IFERROR(LOOKUP(2,1/ISNUMBER(SEARCH(_lookup!$D$3:$D$4,H179)),_lookup!$E$3:$E$4),"INT"),VLOOKUP(G179,_lookup!$A$3:$B$14,2,FALSE)),""))</f>
        <v/>
      </c>
      <c r="K179">
        <f>IF(F179&lt;&gt;"weapon","",IF(G179="miscellaneous","1-4",IF(I179="","",IFERROR(VLOOKUP(I179&amp;"|"&amp;IF(LEFT(H179,2)="2H",2,1)&amp;"|"&amp;IF(G179="slashing",1,0),_lookup!$G$3:$H$18,2,FALSE),""))))</f>
        <v/>
      </c>
      <c r="L179">
        <f>IF(K179="","",IF(OR(G179="channeling",G179="infusing"),"Magical",IF(G179="blocking","Anti-Physical",IF(G179="warding","Anti-Magical","Physical"))))</f>
        <v/>
      </c>
      <c r="O179">
        <f>IF(F179&lt;&gt;"armor","","TBD")</f>
        <v/>
      </c>
      <c r="P179">
        <f>IF(O179="","",IF(OR(G179="channeling",G179="infusing"),"Magical",IF(G179="blocking","Anti-Physical",IF(G179="warding","Anti-Magical","Physical"))))</f>
        <v/>
      </c>
    </row>
    <row r="180">
      <c r="A180" t="inlineStr">
        <is>
          <t>IT179</t>
        </is>
      </c>
      <c r="B180" t="inlineStr">
        <is>
          <t>item_template</t>
        </is>
      </c>
      <c r="C180" t="inlineStr">
        <is>
          <t>tile</t>
        </is>
      </c>
      <c r="J180">
        <f>IF(G180="","",IFERROR(IF(G180="infusing",IFERROR(LOOKUP(2,1/ISNUMBER(SEARCH(_lookup!$D$3:$D$4,H180)),_lookup!$E$3:$E$4),"INT"),VLOOKUP(G180,_lookup!$A$3:$B$14,2,FALSE)),""))</f>
        <v/>
      </c>
      <c r="K180">
        <f>IF(F180&lt;&gt;"weapon","",IF(G180="miscellaneous","1-4",IF(I180="","",IFERROR(VLOOKUP(I180&amp;"|"&amp;IF(LEFT(H180,2)="2H",2,1)&amp;"|"&amp;IF(G180="slashing",1,0),_lookup!$G$3:$H$18,2,FALSE),""))))</f>
        <v/>
      </c>
      <c r="L180">
        <f>IF(K180="","",IF(OR(G180="channeling",G180="infusing"),"Magical",IF(G180="blocking","Anti-Physical",IF(G180="warding","Anti-Magical","Physical"))))</f>
        <v/>
      </c>
      <c r="O180">
        <f>IF(F180&lt;&gt;"armor","","TBD")</f>
        <v/>
      </c>
      <c r="P180">
        <f>IF(O180="","",IF(OR(G180="channeling",G180="infusing"),"Magical",IF(G180="blocking","Anti-Physical",IF(G180="warding","Anti-Magical","Physical"))))</f>
        <v/>
      </c>
    </row>
    <row r="181">
      <c r="A181" t="inlineStr">
        <is>
          <t>IT180</t>
        </is>
      </c>
      <c r="B181" t="inlineStr">
        <is>
          <t>item_template</t>
        </is>
      </c>
      <c r="C181" t="inlineStr">
        <is>
          <t>tile</t>
        </is>
      </c>
      <c r="J181">
        <f>IF(G181="","",IFERROR(IF(G181="infusing",IFERROR(LOOKUP(2,1/ISNUMBER(SEARCH(_lookup!$D$3:$D$4,H181)),_lookup!$E$3:$E$4),"INT"),VLOOKUP(G181,_lookup!$A$3:$B$14,2,FALSE)),""))</f>
        <v/>
      </c>
      <c r="K181">
        <f>IF(F181&lt;&gt;"weapon","",IF(G181="miscellaneous","1-4",IF(I181="","",IFERROR(VLOOKUP(I181&amp;"|"&amp;IF(LEFT(H181,2)="2H",2,1)&amp;"|"&amp;IF(G181="slashing",1,0),_lookup!$G$3:$H$18,2,FALSE),""))))</f>
        <v/>
      </c>
      <c r="L181">
        <f>IF(K181="","",IF(OR(G181="channeling",G181="infusing"),"Magical",IF(G181="blocking","Anti-Physical",IF(G181="warding","Anti-Magical","Physical"))))</f>
        <v/>
      </c>
      <c r="O181">
        <f>IF(F181&lt;&gt;"armor","","TBD")</f>
        <v/>
      </c>
      <c r="P181">
        <f>IF(O181="","",IF(OR(G181="channeling",G181="infusing"),"Magical",IF(G181="blocking","Anti-Physical",IF(G181="warding","Anti-Magical","Physical"))))</f>
        <v/>
      </c>
    </row>
    <row r="182">
      <c r="A182" t="inlineStr">
        <is>
          <t>IT181</t>
        </is>
      </c>
      <c r="B182" t="inlineStr">
        <is>
          <t>item_template</t>
        </is>
      </c>
      <c r="C182" t="inlineStr">
        <is>
          <t>tile</t>
        </is>
      </c>
      <c r="J182">
        <f>IF(G182="","",IFERROR(IF(G182="infusing",IFERROR(LOOKUP(2,1/ISNUMBER(SEARCH(_lookup!$D$3:$D$4,H182)),_lookup!$E$3:$E$4),"INT"),VLOOKUP(G182,_lookup!$A$3:$B$14,2,FALSE)),""))</f>
        <v/>
      </c>
      <c r="K182">
        <f>IF(F182&lt;&gt;"weapon","",IF(G182="miscellaneous","1-4",IF(I182="","",IFERROR(VLOOKUP(I182&amp;"|"&amp;IF(LEFT(H182,2)="2H",2,1)&amp;"|"&amp;IF(G182="slashing",1,0),_lookup!$G$3:$H$18,2,FALSE),""))))</f>
        <v/>
      </c>
      <c r="L182">
        <f>IF(K182="","",IF(OR(G182="channeling",G182="infusing"),"Magical",IF(G182="blocking","Anti-Physical",IF(G182="warding","Anti-Magical","Physical"))))</f>
        <v/>
      </c>
      <c r="O182">
        <f>IF(F182&lt;&gt;"armor","","TBD")</f>
        <v/>
      </c>
      <c r="P182">
        <f>IF(O182="","",IF(OR(G182="channeling",G182="infusing"),"Magical",IF(G182="blocking","Anti-Physical",IF(G182="warding","Anti-Magical","Physical"))))</f>
        <v/>
      </c>
    </row>
    <row r="183">
      <c r="A183" t="inlineStr">
        <is>
          <t>IT182</t>
        </is>
      </c>
      <c r="B183" t="inlineStr">
        <is>
          <t>item_template</t>
        </is>
      </c>
      <c r="C183" t="inlineStr">
        <is>
          <t>tile</t>
        </is>
      </c>
      <c r="J183">
        <f>IF(G183="","",IFERROR(IF(G183="infusing",IFERROR(LOOKUP(2,1/ISNUMBER(SEARCH(_lookup!$D$3:$D$4,H183)),_lookup!$E$3:$E$4),"INT"),VLOOKUP(G183,_lookup!$A$3:$B$14,2,FALSE)),""))</f>
        <v/>
      </c>
      <c r="K183">
        <f>IF(F183&lt;&gt;"weapon","",IF(G183="miscellaneous","1-4",IF(I183="","",IFERROR(VLOOKUP(I183&amp;"|"&amp;IF(LEFT(H183,2)="2H",2,1)&amp;"|"&amp;IF(G183="slashing",1,0),_lookup!$G$3:$H$18,2,FALSE),""))))</f>
        <v/>
      </c>
      <c r="L183">
        <f>IF(K183="","",IF(OR(G183="channeling",G183="infusing"),"Magical",IF(G183="blocking","Anti-Physical",IF(G183="warding","Anti-Magical","Physical"))))</f>
        <v/>
      </c>
      <c r="O183">
        <f>IF(F183&lt;&gt;"armor","","TBD")</f>
        <v/>
      </c>
      <c r="P183">
        <f>IF(O183="","",IF(OR(G183="channeling",G183="infusing"),"Magical",IF(G183="blocking","Anti-Physical",IF(G183="warding","Anti-Magical","Physical"))))</f>
        <v/>
      </c>
    </row>
    <row r="184">
      <c r="A184" t="inlineStr">
        <is>
          <t>IT183</t>
        </is>
      </c>
      <c r="B184" t="inlineStr">
        <is>
          <t>item_template</t>
        </is>
      </c>
      <c r="C184" t="inlineStr">
        <is>
          <t>tile</t>
        </is>
      </c>
      <c r="J184">
        <f>IF(G184="","",IFERROR(IF(G184="infusing",IFERROR(LOOKUP(2,1/ISNUMBER(SEARCH(_lookup!$D$3:$D$4,H184)),_lookup!$E$3:$E$4),"INT"),VLOOKUP(G184,_lookup!$A$3:$B$14,2,FALSE)),""))</f>
        <v/>
      </c>
      <c r="K184">
        <f>IF(F184&lt;&gt;"weapon","",IF(G184="miscellaneous","1-4",IF(I184="","",IFERROR(VLOOKUP(I184&amp;"|"&amp;IF(LEFT(H184,2)="2H",2,1)&amp;"|"&amp;IF(G184="slashing",1,0),_lookup!$G$3:$H$18,2,FALSE),""))))</f>
        <v/>
      </c>
      <c r="L184">
        <f>IF(K184="","",IF(OR(G184="channeling",G184="infusing"),"Magical",IF(G184="blocking","Anti-Physical",IF(G184="warding","Anti-Magical","Physical"))))</f>
        <v/>
      </c>
      <c r="O184">
        <f>IF(F184&lt;&gt;"armor","","TBD")</f>
        <v/>
      </c>
      <c r="P184">
        <f>IF(O184="","",IF(OR(G184="channeling",G184="infusing"),"Magical",IF(G184="blocking","Anti-Physical",IF(G184="warding","Anti-Magical","Physical"))))</f>
        <v/>
      </c>
    </row>
    <row r="185">
      <c r="A185" t="inlineStr">
        <is>
          <t>IT184</t>
        </is>
      </c>
      <c r="B185" t="inlineStr">
        <is>
          <t>item_template</t>
        </is>
      </c>
      <c r="C185" t="inlineStr">
        <is>
          <t>tile</t>
        </is>
      </c>
      <c r="J185">
        <f>IF(G185="","",IFERROR(IF(G185="infusing",IFERROR(LOOKUP(2,1/ISNUMBER(SEARCH(_lookup!$D$3:$D$4,H185)),_lookup!$E$3:$E$4),"INT"),VLOOKUP(G185,_lookup!$A$3:$B$14,2,FALSE)),""))</f>
        <v/>
      </c>
      <c r="K185">
        <f>IF(F185&lt;&gt;"weapon","",IF(G185="miscellaneous","1-4",IF(I185="","",IFERROR(VLOOKUP(I185&amp;"|"&amp;IF(LEFT(H185,2)="2H",2,1)&amp;"|"&amp;IF(G185="slashing",1,0),_lookup!$G$3:$H$18,2,FALSE),""))))</f>
        <v/>
      </c>
      <c r="L185">
        <f>IF(K185="","",IF(OR(G185="channeling",G185="infusing"),"Magical",IF(G185="blocking","Anti-Physical",IF(G185="warding","Anti-Magical","Physical"))))</f>
        <v/>
      </c>
      <c r="O185">
        <f>IF(F185&lt;&gt;"armor","","TBD")</f>
        <v/>
      </c>
      <c r="P185">
        <f>IF(O185="","",IF(OR(G185="channeling",G185="infusing"),"Magical",IF(G185="blocking","Anti-Physical",IF(G185="warding","Anti-Magical","Physical"))))</f>
        <v/>
      </c>
    </row>
    <row r="186">
      <c r="A186" t="inlineStr">
        <is>
          <t>IT185</t>
        </is>
      </c>
      <c r="B186" t="inlineStr">
        <is>
          <t>item_template</t>
        </is>
      </c>
      <c r="C186" t="inlineStr">
        <is>
          <t>tile</t>
        </is>
      </c>
      <c r="J186">
        <f>IF(G186="","",IFERROR(IF(G186="infusing",IFERROR(LOOKUP(2,1/ISNUMBER(SEARCH(_lookup!$D$3:$D$4,H186)),_lookup!$E$3:$E$4),"INT"),VLOOKUP(G186,_lookup!$A$3:$B$14,2,FALSE)),""))</f>
        <v/>
      </c>
      <c r="K186">
        <f>IF(F186&lt;&gt;"weapon","",IF(G186="miscellaneous","1-4",IF(I186="","",IFERROR(VLOOKUP(I186&amp;"|"&amp;IF(LEFT(H186,2)="2H",2,1)&amp;"|"&amp;IF(G186="slashing",1,0),_lookup!$G$3:$H$18,2,FALSE),""))))</f>
        <v/>
      </c>
      <c r="L186">
        <f>IF(K186="","",IF(OR(G186="channeling",G186="infusing"),"Magical",IF(G186="blocking","Anti-Physical",IF(G186="warding","Anti-Magical","Physical"))))</f>
        <v/>
      </c>
      <c r="O186">
        <f>IF(F186&lt;&gt;"armor","","TBD")</f>
        <v/>
      </c>
      <c r="P186">
        <f>IF(O186="","",IF(OR(G186="channeling",G186="infusing"),"Magical",IF(G186="blocking","Anti-Physical",IF(G186="warding","Anti-Magical","Physical"))))</f>
        <v/>
      </c>
    </row>
    <row r="187">
      <c r="A187" t="inlineStr">
        <is>
          <t>IT186</t>
        </is>
      </c>
      <c r="B187" t="inlineStr">
        <is>
          <t>item_template</t>
        </is>
      </c>
      <c r="C187" t="inlineStr">
        <is>
          <t>tile</t>
        </is>
      </c>
      <c r="J187">
        <f>IF(G187="","",IFERROR(IF(G187="infusing",IFERROR(LOOKUP(2,1/ISNUMBER(SEARCH(_lookup!$D$3:$D$4,H187)),_lookup!$E$3:$E$4),"INT"),VLOOKUP(G187,_lookup!$A$3:$B$14,2,FALSE)),""))</f>
        <v/>
      </c>
      <c r="K187">
        <f>IF(F187&lt;&gt;"weapon","",IF(G187="miscellaneous","1-4",IF(I187="","",IFERROR(VLOOKUP(I187&amp;"|"&amp;IF(LEFT(H187,2)="2H",2,1)&amp;"|"&amp;IF(G187="slashing",1,0),_lookup!$G$3:$H$18,2,FALSE),""))))</f>
        <v/>
      </c>
      <c r="L187">
        <f>IF(K187="","",IF(OR(G187="channeling",G187="infusing"),"Magical",IF(G187="blocking","Anti-Physical",IF(G187="warding","Anti-Magical","Physical"))))</f>
        <v/>
      </c>
      <c r="O187">
        <f>IF(F187&lt;&gt;"armor","","TBD")</f>
        <v/>
      </c>
      <c r="P187">
        <f>IF(O187="","",IF(OR(G187="channeling",G187="infusing"),"Magical",IF(G187="blocking","Anti-Physical",IF(G187="warding","Anti-Magical","Physical"))))</f>
        <v/>
      </c>
    </row>
    <row r="188">
      <c r="A188" t="inlineStr">
        <is>
          <t>IT187</t>
        </is>
      </c>
      <c r="B188" t="inlineStr">
        <is>
          <t>item_template</t>
        </is>
      </c>
      <c r="C188" t="inlineStr">
        <is>
          <t>tile</t>
        </is>
      </c>
      <c r="J188">
        <f>IF(G188="","",IFERROR(IF(G188="infusing",IFERROR(LOOKUP(2,1/ISNUMBER(SEARCH(_lookup!$D$3:$D$4,H188)),_lookup!$E$3:$E$4),"INT"),VLOOKUP(G188,_lookup!$A$3:$B$14,2,FALSE)),""))</f>
        <v/>
      </c>
      <c r="K188">
        <f>IF(F188&lt;&gt;"weapon","",IF(G188="miscellaneous","1-4",IF(I188="","",IFERROR(VLOOKUP(I188&amp;"|"&amp;IF(LEFT(H188,2)="2H",2,1)&amp;"|"&amp;IF(G188="slashing",1,0),_lookup!$G$3:$H$18,2,FALSE),""))))</f>
        <v/>
      </c>
      <c r="L188">
        <f>IF(K188="","",IF(OR(G188="channeling",G188="infusing"),"Magical",IF(G188="blocking","Anti-Physical",IF(G188="warding","Anti-Magical","Physical"))))</f>
        <v/>
      </c>
      <c r="O188">
        <f>IF(F188&lt;&gt;"armor","","TBD")</f>
        <v/>
      </c>
      <c r="P188">
        <f>IF(O188="","",IF(OR(G188="channeling",G188="infusing"),"Magical",IF(G188="blocking","Anti-Physical",IF(G188="warding","Anti-Magical","Physical"))))</f>
        <v/>
      </c>
    </row>
    <row r="189">
      <c r="A189" t="inlineStr">
        <is>
          <t>IT188</t>
        </is>
      </c>
      <c r="B189" t="inlineStr">
        <is>
          <t>item_template</t>
        </is>
      </c>
      <c r="C189" t="inlineStr">
        <is>
          <t>tile</t>
        </is>
      </c>
      <c r="J189">
        <f>IF(G189="","",IFERROR(IF(G189="infusing",IFERROR(LOOKUP(2,1/ISNUMBER(SEARCH(_lookup!$D$3:$D$4,H189)),_lookup!$E$3:$E$4),"INT"),VLOOKUP(G189,_lookup!$A$3:$B$14,2,FALSE)),""))</f>
        <v/>
      </c>
      <c r="K189">
        <f>IF(F189&lt;&gt;"weapon","",IF(G189="miscellaneous","1-4",IF(I189="","",IFERROR(VLOOKUP(I189&amp;"|"&amp;IF(LEFT(H189,2)="2H",2,1)&amp;"|"&amp;IF(G189="slashing",1,0),_lookup!$G$3:$H$18,2,FALSE),""))))</f>
        <v/>
      </c>
      <c r="L189">
        <f>IF(K189="","",IF(OR(G189="channeling",G189="infusing"),"Magical",IF(G189="blocking","Anti-Physical",IF(G189="warding","Anti-Magical","Physical"))))</f>
        <v/>
      </c>
      <c r="O189">
        <f>IF(F189&lt;&gt;"armor","","TBD")</f>
        <v/>
      </c>
      <c r="P189">
        <f>IF(O189="","",IF(OR(G189="channeling",G189="infusing"),"Magical",IF(G189="blocking","Anti-Physical",IF(G189="warding","Anti-Magical","Physical"))))</f>
        <v/>
      </c>
    </row>
    <row r="190">
      <c r="A190" t="inlineStr">
        <is>
          <t>IT189</t>
        </is>
      </c>
      <c r="B190" t="inlineStr">
        <is>
          <t>item_template</t>
        </is>
      </c>
      <c r="C190" t="inlineStr">
        <is>
          <t>tile</t>
        </is>
      </c>
      <c r="J190">
        <f>IF(G190="","",IFERROR(IF(G190="infusing",IFERROR(LOOKUP(2,1/ISNUMBER(SEARCH(_lookup!$D$3:$D$4,H190)),_lookup!$E$3:$E$4),"INT"),VLOOKUP(G190,_lookup!$A$3:$B$14,2,FALSE)),""))</f>
        <v/>
      </c>
      <c r="K190">
        <f>IF(F190&lt;&gt;"weapon","",IF(G190="miscellaneous","1-4",IF(I190="","",IFERROR(VLOOKUP(I190&amp;"|"&amp;IF(LEFT(H190,2)="2H",2,1)&amp;"|"&amp;IF(G190="slashing",1,0),_lookup!$G$3:$H$18,2,FALSE),""))))</f>
        <v/>
      </c>
      <c r="L190">
        <f>IF(K190="","",IF(OR(G190="channeling",G190="infusing"),"Magical",IF(G190="blocking","Anti-Physical",IF(G190="warding","Anti-Magical","Physical"))))</f>
        <v/>
      </c>
      <c r="O190">
        <f>IF(F190&lt;&gt;"armor","","TBD")</f>
        <v/>
      </c>
      <c r="P190">
        <f>IF(O190="","",IF(OR(G190="channeling",G190="infusing"),"Magical",IF(G190="blocking","Anti-Physical",IF(G190="warding","Anti-Magical","Physical"))))</f>
        <v/>
      </c>
    </row>
    <row r="191">
      <c r="A191" t="inlineStr">
        <is>
          <t>IT190</t>
        </is>
      </c>
      <c r="B191" t="inlineStr">
        <is>
          <t>item_template</t>
        </is>
      </c>
      <c r="C191" t="inlineStr">
        <is>
          <t>tile</t>
        </is>
      </c>
      <c r="J191">
        <f>IF(G191="","",IFERROR(IF(G191="infusing",IFERROR(LOOKUP(2,1/ISNUMBER(SEARCH(_lookup!$D$3:$D$4,H191)),_lookup!$E$3:$E$4),"INT"),VLOOKUP(G191,_lookup!$A$3:$B$14,2,FALSE)),""))</f>
        <v/>
      </c>
      <c r="K191">
        <f>IF(F191&lt;&gt;"weapon","",IF(G191="miscellaneous","1-4",IF(I191="","",IFERROR(VLOOKUP(I191&amp;"|"&amp;IF(LEFT(H191,2)="2H",2,1)&amp;"|"&amp;IF(G191="slashing",1,0),_lookup!$G$3:$H$18,2,FALSE),""))))</f>
        <v/>
      </c>
      <c r="L191">
        <f>IF(K191="","",IF(OR(G191="channeling",G191="infusing"),"Magical",IF(G191="blocking","Anti-Physical",IF(G191="warding","Anti-Magical","Physical"))))</f>
        <v/>
      </c>
      <c r="O191">
        <f>IF(F191&lt;&gt;"armor","","TBD")</f>
        <v/>
      </c>
      <c r="P191">
        <f>IF(O191="","",IF(OR(G191="channeling",G191="infusing"),"Magical",IF(G191="blocking","Anti-Physical",IF(G191="warding","Anti-Magical","Physical"))))</f>
        <v/>
      </c>
    </row>
    <row r="192">
      <c r="A192" t="inlineStr">
        <is>
          <t>IT191</t>
        </is>
      </c>
      <c r="B192" t="inlineStr">
        <is>
          <t>item_template</t>
        </is>
      </c>
      <c r="C192" t="inlineStr">
        <is>
          <t>tile</t>
        </is>
      </c>
      <c r="J192">
        <f>IF(G192="","",IFERROR(IF(G192="infusing",IFERROR(LOOKUP(2,1/ISNUMBER(SEARCH(_lookup!$D$3:$D$4,H192)),_lookup!$E$3:$E$4),"INT"),VLOOKUP(G192,_lookup!$A$3:$B$14,2,FALSE)),""))</f>
        <v/>
      </c>
      <c r="K192">
        <f>IF(F192&lt;&gt;"weapon","",IF(G192="miscellaneous","1-4",IF(I192="","",IFERROR(VLOOKUP(I192&amp;"|"&amp;IF(LEFT(H192,2)="2H",2,1)&amp;"|"&amp;IF(G192="slashing",1,0),_lookup!$G$3:$H$18,2,FALSE),""))))</f>
        <v/>
      </c>
      <c r="L192">
        <f>IF(K192="","",IF(OR(G192="channeling",G192="infusing"),"Magical",IF(G192="blocking","Anti-Physical",IF(G192="warding","Anti-Magical","Physical"))))</f>
        <v/>
      </c>
      <c r="O192">
        <f>IF(F192&lt;&gt;"armor","","TBD")</f>
        <v/>
      </c>
      <c r="P192">
        <f>IF(O192="","",IF(OR(G192="channeling",G192="infusing"),"Magical",IF(G192="blocking","Anti-Physical",IF(G192="warding","Anti-Magical","Physical"))))</f>
        <v/>
      </c>
    </row>
    <row r="193">
      <c r="A193" t="inlineStr">
        <is>
          <t>IT192</t>
        </is>
      </c>
      <c r="B193" t="inlineStr">
        <is>
          <t>item_template</t>
        </is>
      </c>
      <c r="C193" t="inlineStr">
        <is>
          <t>tile</t>
        </is>
      </c>
      <c r="J193">
        <f>IF(G193="","",IFERROR(IF(G193="infusing",IFERROR(LOOKUP(2,1/ISNUMBER(SEARCH(_lookup!$D$3:$D$4,H193)),_lookup!$E$3:$E$4),"INT"),VLOOKUP(G193,_lookup!$A$3:$B$14,2,FALSE)),""))</f>
        <v/>
      </c>
      <c r="K193">
        <f>IF(F193&lt;&gt;"weapon","",IF(G193="miscellaneous","1-4",IF(I193="","",IFERROR(VLOOKUP(I193&amp;"|"&amp;IF(LEFT(H193,2)="2H",2,1)&amp;"|"&amp;IF(G193="slashing",1,0),_lookup!$G$3:$H$18,2,FALSE),""))))</f>
        <v/>
      </c>
      <c r="L193">
        <f>IF(K193="","",IF(OR(G193="channeling",G193="infusing"),"Magical",IF(G193="blocking","Anti-Physical",IF(G193="warding","Anti-Magical","Physical"))))</f>
        <v/>
      </c>
      <c r="O193">
        <f>IF(F193&lt;&gt;"armor","","TBD")</f>
        <v/>
      </c>
      <c r="P193">
        <f>IF(O193="","",IF(OR(G193="channeling",G193="infusing"),"Magical",IF(G193="blocking","Anti-Physical",IF(G193="warding","Anti-Magical","Physical"))))</f>
        <v/>
      </c>
    </row>
    <row r="194">
      <c r="A194" t="inlineStr">
        <is>
          <t>IT193</t>
        </is>
      </c>
      <c r="B194" t="inlineStr">
        <is>
          <t>item_template</t>
        </is>
      </c>
      <c r="C194" t="inlineStr">
        <is>
          <t>tile</t>
        </is>
      </c>
      <c r="J194">
        <f>IF(G194="","",IFERROR(IF(G194="infusing",IFERROR(LOOKUP(2,1/ISNUMBER(SEARCH(_lookup!$D$3:$D$4,H194)),_lookup!$E$3:$E$4),"INT"),VLOOKUP(G194,_lookup!$A$3:$B$14,2,FALSE)),""))</f>
        <v/>
      </c>
      <c r="K194">
        <f>IF(F194&lt;&gt;"weapon","",IF(G194="miscellaneous","1-4",IF(I194="","",IFERROR(VLOOKUP(I194&amp;"|"&amp;IF(LEFT(H194,2)="2H",2,1)&amp;"|"&amp;IF(G194="slashing",1,0),_lookup!$G$3:$H$18,2,FALSE),""))))</f>
        <v/>
      </c>
      <c r="L194">
        <f>IF(K194="","",IF(OR(G194="channeling",G194="infusing"),"Magical",IF(G194="blocking","Anti-Physical",IF(G194="warding","Anti-Magical","Physical"))))</f>
        <v/>
      </c>
      <c r="O194">
        <f>IF(F194&lt;&gt;"armor","","TBD")</f>
        <v/>
      </c>
      <c r="P194">
        <f>IF(O194="","",IF(OR(G194="channeling",G194="infusing"),"Magical",IF(G194="blocking","Anti-Physical",IF(G194="warding","Anti-Magical","Physical"))))</f>
        <v/>
      </c>
    </row>
    <row r="195">
      <c r="A195" t="inlineStr">
        <is>
          <t>IT194</t>
        </is>
      </c>
      <c r="B195" t="inlineStr">
        <is>
          <t>item_template</t>
        </is>
      </c>
      <c r="C195" t="inlineStr">
        <is>
          <t>tile</t>
        </is>
      </c>
      <c r="J195">
        <f>IF(G195="","",IFERROR(IF(G195="infusing",IFERROR(LOOKUP(2,1/ISNUMBER(SEARCH(_lookup!$D$3:$D$4,H195)),_lookup!$E$3:$E$4),"INT"),VLOOKUP(G195,_lookup!$A$3:$B$14,2,FALSE)),""))</f>
        <v/>
      </c>
      <c r="K195">
        <f>IF(F195&lt;&gt;"weapon","",IF(G195="miscellaneous","1-4",IF(I195="","",IFERROR(VLOOKUP(I195&amp;"|"&amp;IF(LEFT(H195,2)="2H",2,1)&amp;"|"&amp;IF(G195="slashing",1,0),_lookup!$G$3:$H$18,2,FALSE),""))))</f>
        <v/>
      </c>
      <c r="L195">
        <f>IF(K195="","",IF(OR(G195="channeling",G195="infusing"),"Magical",IF(G195="blocking","Anti-Physical",IF(G195="warding","Anti-Magical","Physical"))))</f>
        <v/>
      </c>
      <c r="O195">
        <f>IF(F195&lt;&gt;"armor","","TBD")</f>
        <v/>
      </c>
      <c r="P195">
        <f>IF(O195="","",IF(OR(G195="channeling",G195="infusing"),"Magical",IF(G195="blocking","Anti-Physical",IF(G195="warding","Anti-Magical","Physical"))))</f>
        <v/>
      </c>
    </row>
    <row r="196">
      <c r="A196" t="inlineStr">
        <is>
          <t>IT195</t>
        </is>
      </c>
      <c r="B196" t="inlineStr">
        <is>
          <t>item_template</t>
        </is>
      </c>
      <c r="C196" t="inlineStr">
        <is>
          <t>tile</t>
        </is>
      </c>
      <c r="J196">
        <f>IF(G196="","",IFERROR(IF(G196="infusing",IFERROR(LOOKUP(2,1/ISNUMBER(SEARCH(_lookup!$D$3:$D$4,H196)),_lookup!$E$3:$E$4),"INT"),VLOOKUP(G196,_lookup!$A$3:$B$14,2,FALSE)),""))</f>
        <v/>
      </c>
      <c r="K196">
        <f>IF(F196&lt;&gt;"weapon","",IF(G196="miscellaneous","1-4",IF(I196="","",IFERROR(VLOOKUP(I196&amp;"|"&amp;IF(LEFT(H196,2)="2H",2,1)&amp;"|"&amp;IF(G196="slashing",1,0),_lookup!$G$3:$H$18,2,FALSE),""))))</f>
        <v/>
      </c>
      <c r="L196">
        <f>IF(K196="","",IF(OR(G196="channeling",G196="infusing"),"Magical",IF(G196="blocking","Anti-Physical",IF(G196="warding","Anti-Magical","Physical"))))</f>
        <v/>
      </c>
      <c r="O196">
        <f>IF(F196&lt;&gt;"armor","","TBD")</f>
        <v/>
      </c>
      <c r="P196">
        <f>IF(O196="","",IF(OR(G196="channeling",G196="infusing"),"Magical",IF(G196="blocking","Anti-Physical",IF(G196="warding","Anti-Magical","Physical"))))</f>
        <v/>
      </c>
    </row>
    <row r="197">
      <c r="J197">
        <f>IF(G197="","",IFERROR(IF(G197="infusing",IFERROR(LOOKUP(2,1/ISNUMBER(SEARCH(_lookup!$D$3:$D$4,H197)),_lookup!$E$3:$E$4),"INT"),VLOOKUP(G197,_lookup!$A$3:$B$14,2,FALSE)),""))</f>
        <v/>
      </c>
      <c r="K197">
        <f>IF(F197&lt;&gt;"weapon","",IF(G197="miscellaneous","1-4",IF(I197="","",IFERROR(VLOOKUP(I197&amp;"|"&amp;IF(LEFT(H197,2)="2H",2,1)&amp;"|"&amp;IF(G197="slashing",1,0),_lookup!$G$3:$H$18,2,FALSE),""))))</f>
        <v/>
      </c>
      <c r="L197">
        <f>IF(K197="","",IF(OR(G197="channeling",G197="infusing"),"Magical",IF(G197="blocking","Anti-Physical",IF(G197="warding","Anti-Magical","Physical"))))</f>
        <v/>
      </c>
      <c r="O197">
        <f>IF(F197&lt;&gt;"armor","","TBD")</f>
        <v/>
      </c>
      <c r="P197">
        <f>IF(O197="","",IF(OR(G197="channeling",G197="infusing"),"Magical",IF(G197="blocking","Anti-Physical",IF(G197="warding","Anti-Magical","Physical"))))</f>
        <v/>
      </c>
    </row>
    <row r="198">
      <c r="J198">
        <f>IF(G198="","",IFERROR(IF(G198="infusing",IFERROR(LOOKUP(2,1/ISNUMBER(SEARCH(_lookup!$D$3:$D$4,H198)),_lookup!$E$3:$E$4),"INT"),VLOOKUP(G198,_lookup!$A$3:$B$14,2,FALSE)),""))</f>
        <v/>
      </c>
      <c r="K198">
        <f>IF(F198&lt;&gt;"weapon","",IF(G198="miscellaneous","1-4",IF(I198="","",IFERROR(VLOOKUP(I198&amp;"|"&amp;IF(LEFT(H198,2)="2H",2,1)&amp;"|"&amp;IF(G198="slashing",1,0),_lookup!$G$3:$H$18,2,FALSE),""))))</f>
        <v/>
      </c>
      <c r="L198">
        <f>IF(K198="","",IF(OR(G198="channeling",G198="infusing"),"Magical",IF(G198="blocking","Anti-Physical",IF(G198="warding","Anti-Magical","Physical"))))</f>
        <v/>
      </c>
      <c r="O198">
        <f>IF(F198&lt;&gt;"armor","","TBD")</f>
        <v/>
      </c>
      <c r="P198">
        <f>IF(O198="","",IF(OR(G198="channeling",G198="infusing"),"Magical",IF(G198="blocking","Anti-Physical",IF(G198="warding","Anti-Magical","Physical"))))</f>
        <v/>
      </c>
    </row>
    <row r="199">
      <c r="J199">
        <f>IF(G199="","",IFERROR(IF(G199="infusing",IFERROR(LOOKUP(2,1/ISNUMBER(SEARCH(_lookup!$D$3:$D$4,H199)),_lookup!$E$3:$E$4),"INT"),VLOOKUP(G199,_lookup!$A$3:$B$14,2,FALSE)),""))</f>
        <v/>
      </c>
      <c r="K199">
        <f>IF(F199&lt;&gt;"weapon","",IF(G199="miscellaneous","1-4",IF(I199="","",IFERROR(VLOOKUP(I199&amp;"|"&amp;IF(LEFT(H199,2)="2H",2,1)&amp;"|"&amp;IF(G199="slashing",1,0),_lookup!$G$3:$H$18,2,FALSE),""))))</f>
        <v/>
      </c>
      <c r="L199">
        <f>IF(K199="","",IF(OR(G199="channeling",G199="infusing"),"Magical",IF(G199="blocking","Anti-Physical",IF(G199="warding","Anti-Magical","Physical"))))</f>
        <v/>
      </c>
      <c r="O199">
        <f>IF(F199&lt;&gt;"armor","","TBD")</f>
        <v/>
      </c>
      <c r="P199">
        <f>IF(O199="","",IF(OR(G199="channeling",G199="infusing"),"Magical",IF(G199="blocking","Anti-Physical",IF(G199="warding","Anti-Magical","Physical"))))</f>
        <v/>
      </c>
    </row>
    <row r="200">
      <c r="J200">
        <f>IF(G200="","",IFERROR(IF(G200="infusing",IFERROR(LOOKUP(2,1/ISNUMBER(SEARCH(_lookup!$D$3:$D$4,H200)),_lookup!$E$3:$E$4),"INT"),VLOOKUP(G200,_lookup!$A$3:$B$14,2,FALSE)),""))</f>
        <v/>
      </c>
      <c r="K200">
        <f>IF(F200&lt;&gt;"weapon","",IF(G200="miscellaneous","1-4",IF(I200="","",IFERROR(VLOOKUP(I200&amp;"|"&amp;IF(LEFT(H200,2)="2H",2,1)&amp;"|"&amp;IF(G200="slashing",1,0),_lookup!$G$3:$H$18,2,FALSE),""))))</f>
        <v/>
      </c>
      <c r="L200">
        <f>IF(K200="","",IF(OR(G200="channeling",G200="infusing"),"Magical",IF(G200="blocking","Anti-Physical",IF(G200="warding","Anti-Magical","Physical"))))</f>
        <v/>
      </c>
      <c r="O200">
        <f>IF(F200&lt;&gt;"armor","","TBD")</f>
        <v/>
      </c>
      <c r="P200">
        <f>IF(O200="","",IF(OR(G200="channeling",G200="infusing"),"Magical",IF(G200="blocking","Anti-Physical",IF(G200="warding","Anti-Magical","Physical"))))</f>
        <v/>
      </c>
    </row>
    <row r="201">
      <c r="J201">
        <f>IF(G201="","",IFERROR(IF(G201="infusing",IFERROR(LOOKUP(2,1/ISNUMBER(SEARCH(_lookup!$D$3:$D$4,H201)),_lookup!$E$3:$E$4),"INT"),VLOOKUP(G201,_lookup!$A$3:$B$14,2,FALSE)),""))</f>
        <v/>
      </c>
      <c r="K201">
        <f>IF(F201&lt;&gt;"weapon","",IF(G201="miscellaneous","1-4",IF(I201="","",IFERROR(VLOOKUP(I201&amp;"|"&amp;IF(LEFT(H201,2)="2H",2,1)&amp;"|"&amp;IF(G201="slashing",1,0),_lookup!$G$3:$H$18,2,FALSE),""))))</f>
        <v/>
      </c>
      <c r="L201">
        <f>IF(K201="","",IF(OR(G201="channeling",G201="infusing"),"Magical",IF(G201="blocking","Anti-Physical",IF(G201="warding","Anti-Magical","Physical"))))</f>
        <v/>
      </c>
      <c r="O201">
        <f>IF(F201&lt;&gt;"armor","","TBD")</f>
        <v/>
      </c>
      <c r="P201">
        <f>IF(O201="","",IF(OR(G201="channeling",G201="infusing"),"Magical",IF(G201="blocking","Anti-Physical",IF(G201="warding","Anti-Magical","Physical"))))</f>
        <v/>
      </c>
    </row>
    <row r="202">
      <c r="J202">
        <f>IF(G202="","",IFERROR(IF(G202="infusing",IFERROR(LOOKUP(2,1/ISNUMBER(SEARCH(_lookup!$D$3:$D$4,H202)),_lookup!$E$3:$E$4),"INT"),VLOOKUP(G202,_lookup!$A$3:$B$14,2,FALSE)),""))</f>
        <v/>
      </c>
      <c r="K202">
        <f>IF(F202&lt;&gt;"weapon","",IF(G202="miscellaneous","1-4",IF(I202="","",IFERROR(VLOOKUP(I202&amp;"|"&amp;IF(LEFT(H202,2)="2H",2,1)&amp;"|"&amp;IF(G202="slashing",1,0),_lookup!$G$3:$H$18,2,FALSE),""))))</f>
        <v/>
      </c>
      <c r="L202">
        <f>IF(K202="","",IF(OR(G202="channeling",G202="infusing"),"Magical",IF(G202="blocking","Anti-Physical",IF(G202="warding","Anti-Magical","Physical"))))</f>
        <v/>
      </c>
      <c r="O202">
        <f>IF(F202&lt;&gt;"armor","","TBD")</f>
        <v/>
      </c>
      <c r="P202">
        <f>IF(O202="","",IF(OR(G202="channeling",G202="infusing"),"Magical",IF(G202="blocking","Anti-Physical",IF(G202="warding","Anti-Magical","Physical"))))</f>
        <v/>
      </c>
    </row>
    <row r="203">
      <c r="J203">
        <f>IF(G203="","",IFERROR(IF(G203="infusing",IFERROR(LOOKUP(2,1/ISNUMBER(SEARCH(_lookup!$D$3:$D$4,H203)),_lookup!$E$3:$E$4),"INT"),VLOOKUP(G203,_lookup!$A$3:$B$14,2,FALSE)),""))</f>
        <v/>
      </c>
      <c r="K203">
        <f>IF(F203&lt;&gt;"weapon","",IF(G203="miscellaneous","1-4",IF(I203="","",IFERROR(VLOOKUP(I203&amp;"|"&amp;IF(LEFT(H203,2)="2H",2,1)&amp;"|"&amp;IF(G203="slashing",1,0),_lookup!$G$3:$H$18,2,FALSE),""))))</f>
        <v/>
      </c>
      <c r="L203">
        <f>IF(K203="","",IF(OR(G203="channeling",G203="infusing"),"Magical",IF(G203="blocking","Anti-Physical",IF(G203="warding","Anti-Magical","Physical"))))</f>
        <v/>
      </c>
      <c r="O203">
        <f>IF(F203&lt;&gt;"armor","","TBD")</f>
        <v/>
      </c>
      <c r="P203">
        <f>IF(O203="","",IF(OR(G203="channeling",G203="infusing"),"Magical",IF(G203="blocking","Anti-Physical",IF(G203="warding","Anti-Magical","Physical"))))</f>
        <v/>
      </c>
    </row>
    <row r="204">
      <c r="J204">
        <f>IF(G204="","",IFERROR(IF(G204="infusing",IFERROR(LOOKUP(2,1/ISNUMBER(SEARCH(_lookup!$D$3:$D$4,H204)),_lookup!$E$3:$E$4),"INT"),VLOOKUP(G204,_lookup!$A$3:$B$14,2,FALSE)),""))</f>
        <v/>
      </c>
      <c r="K204">
        <f>IF(F204&lt;&gt;"weapon","",IF(G204="miscellaneous","1-4",IF(I204="","",IFERROR(VLOOKUP(I204&amp;"|"&amp;IF(LEFT(H204,2)="2H",2,1)&amp;"|"&amp;IF(G204="slashing",1,0),_lookup!$G$3:$H$18,2,FALSE),""))))</f>
        <v/>
      </c>
      <c r="L204">
        <f>IF(K204="","",IF(OR(G204="channeling",G204="infusing"),"Magical",IF(G204="blocking","Anti-Physical",IF(G204="warding","Anti-Magical","Physical"))))</f>
        <v/>
      </c>
      <c r="O204">
        <f>IF(F204&lt;&gt;"armor","","TBD")</f>
        <v/>
      </c>
      <c r="P204">
        <f>IF(O204="","",IF(OR(G204="channeling",G204="infusing"),"Magical",IF(G204="blocking","Anti-Physical",IF(G204="warding","Anti-Magical","Physical"))))</f>
        <v/>
      </c>
    </row>
    <row r="205">
      <c r="J205">
        <f>IF(G205="","",IFERROR(IF(G205="infusing",IFERROR(LOOKUP(2,1/ISNUMBER(SEARCH(_lookup!$D$3:$D$4,H205)),_lookup!$E$3:$E$4),"INT"),VLOOKUP(G205,_lookup!$A$3:$B$14,2,FALSE)),""))</f>
        <v/>
      </c>
      <c r="K205">
        <f>IF(F205&lt;&gt;"weapon","",IF(G205="miscellaneous","1-4",IF(I205="","",IFERROR(VLOOKUP(I205&amp;"|"&amp;IF(LEFT(H205,2)="2H",2,1)&amp;"|"&amp;IF(G205="slashing",1,0),_lookup!$G$3:$H$18,2,FALSE),""))))</f>
        <v/>
      </c>
      <c r="L205">
        <f>IF(K205="","",IF(OR(G205="channeling",G205="infusing"),"Magical",IF(G205="blocking","Anti-Physical",IF(G205="warding","Anti-Magical","Physical"))))</f>
        <v/>
      </c>
      <c r="O205">
        <f>IF(F205&lt;&gt;"armor","","TBD")</f>
        <v/>
      </c>
      <c r="P205">
        <f>IF(O205="","",IF(OR(G205="channeling",G205="infusing"),"Magical",IF(G205="blocking","Anti-Physical",IF(G205="warding","Anti-Magical","Physical"))))</f>
        <v/>
      </c>
    </row>
    <row r="206">
      <c r="J206">
        <f>IF(G206="","",IFERROR(IF(G206="infusing",IFERROR(LOOKUP(2,1/ISNUMBER(SEARCH(_lookup!$D$3:$D$4,H206)),_lookup!$E$3:$E$4),"INT"),VLOOKUP(G206,_lookup!$A$3:$B$14,2,FALSE)),""))</f>
        <v/>
      </c>
      <c r="K206">
        <f>IF(F206&lt;&gt;"weapon","",IF(G206="miscellaneous","1-4",IF(I206="","",IFERROR(VLOOKUP(I206&amp;"|"&amp;IF(LEFT(H206,2)="2H",2,1)&amp;"|"&amp;IF(G206="slashing",1,0),_lookup!$G$3:$H$18,2,FALSE),""))))</f>
        <v/>
      </c>
      <c r="L206">
        <f>IF(K206="","",IF(OR(G206="channeling",G206="infusing"),"Magical",IF(G206="blocking","Anti-Physical",IF(G206="warding","Anti-Magical","Physical"))))</f>
        <v/>
      </c>
      <c r="O206">
        <f>IF(F206&lt;&gt;"armor","","TBD")</f>
        <v/>
      </c>
      <c r="P206">
        <f>IF(O206="","",IF(OR(G206="channeling",G206="infusing"),"Magical",IF(G206="blocking","Anti-Physical",IF(G206="warding","Anti-Magical","Physical"))))</f>
        <v/>
      </c>
    </row>
    <row r="207">
      <c r="J207">
        <f>IF(G207="","",IFERROR(IF(G207="infusing",IFERROR(LOOKUP(2,1/ISNUMBER(SEARCH(_lookup!$D$3:$D$4,H207)),_lookup!$E$3:$E$4),"INT"),VLOOKUP(G207,_lookup!$A$3:$B$14,2,FALSE)),""))</f>
        <v/>
      </c>
      <c r="K207">
        <f>IF(F207&lt;&gt;"weapon","",IF(G207="miscellaneous","1-4",IF(I207="","",IFERROR(VLOOKUP(I207&amp;"|"&amp;IF(LEFT(H207,2)="2H",2,1)&amp;"|"&amp;IF(G207="slashing",1,0),_lookup!$G$3:$H$18,2,FALSE),""))))</f>
        <v/>
      </c>
      <c r="L207">
        <f>IF(K207="","",IF(OR(G207="channeling",G207="infusing"),"Magical",IF(G207="blocking","Anti-Physical",IF(G207="warding","Anti-Magical","Physical"))))</f>
        <v/>
      </c>
      <c r="O207">
        <f>IF(F207&lt;&gt;"armor","","TBD")</f>
        <v/>
      </c>
      <c r="P207">
        <f>IF(O207="","",IF(OR(G207="channeling",G207="infusing"),"Magical",IF(G207="blocking","Anti-Physical",IF(G207="warding","Anti-Magical","Physical"))))</f>
        <v/>
      </c>
    </row>
    <row r="208">
      <c r="J208">
        <f>IF(G208="","",IFERROR(IF(G208="infusing",IFERROR(LOOKUP(2,1/ISNUMBER(SEARCH(_lookup!$D$3:$D$4,H208)),_lookup!$E$3:$E$4),"INT"),VLOOKUP(G208,_lookup!$A$3:$B$14,2,FALSE)),""))</f>
        <v/>
      </c>
      <c r="K208">
        <f>IF(F208&lt;&gt;"weapon","",IF(G208="miscellaneous","1-4",IF(I208="","",IFERROR(VLOOKUP(I208&amp;"|"&amp;IF(LEFT(H208,2)="2H",2,1)&amp;"|"&amp;IF(G208="slashing",1,0),_lookup!$G$3:$H$18,2,FALSE),""))))</f>
        <v/>
      </c>
      <c r="L208">
        <f>IF(K208="","",IF(OR(G208="channeling",G208="infusing"),"Magical",IF(G208="blocking","Anti-Physical",IF(G208="warding","Anti-Magical","Physical"))))</f>
        <v/>
      </c>
      <c r="O208">
        <f>IF(F208&lt;&gt;"armor","","TBD")</f>
        <v/>
      </c>
      <c r="P208">
        <f>IF(O208="","",IF(OR(G208="channeling",G208="infusing"),"Magical",IF(G208="blocking","Anti-Physical",IF(G208="warding","Anti-Magical","Physical"))))</f>
        <v/>
      </c>
    </row>
    <row r="209">
      <c r="J209">
        <f>IF(G209="","",IFERROR(IF(G209="infusing",IFERROR(LOOKUP(2,1/ISNUMBER(SEARCH(_lookup!$D$3:$D$4,H209)),_lookup!$E$3:$E$4),"INT"),VLOOKUP(G209,_lookup!$A$3:$B$14,2,FALSE)),""))</f>
        <v/>
      </c>
      <c r="K209">
        <f>IF(F209&lt;&gt;"weapon","",IF(G209="miscellaneous","1-4",IF(I209="","",IFERROR(VLOOKUP(I209&amp;"|"&amp;IF(LEFT(H209,2)="2H",2,1)&amp;"|"&amp;IF(G209="slashing",1,0),_lookup!$G$3:$H$18,2,FALSE),""))))</f>
        <v/>
      </c>
      <c r="L209">
        <f>IF(K209="","",IF(OR(G209="channeling",G209="infusing"),"Magical",IF(G209="blocking","Anti-Physical",IF(G209="warding","Anti-Magical","Physical"))))</f>
        <v/>
      </c>
      <c r="O209">
        <f>IF(F209&lt;&gt;"armor","","TBD")</f>
        <v/>
      </c>
      <c r="P209">
        <f>IF(O209="","",IF(OR(G209="channeling",G209="infusing"),"Magical",IF(G209="blocking","Anti-Physical",IF(G209="warding","Anti-Magical","Physical"))))</f>
        <v/>
      </c>
    </row>
    <row r="210">
      <c r="J210">
        <f>IF(G210="","",IFERROR(IF(G210="infusing",IFERROR(LOOKUP(2,1/ISNUMBER(SEARCH(_lookup!$D$3:$D$4,H210)),_lookup!$E$3:$E$4),"INT"),VLOOKUP(G210,_lookup!$A$3:$B$14,2,FALSE)),""))</f>
        <v/>
      </c>
      <c r="K210">
        <f>IF(F210&lt;&gt;"weapon","",IF(G210="miscellaneous","1-4",IF(I210="","",IFERROR(VLOOKUP(I210&amp;"|"&amp;IF(LEFT(H210,2)="2H",2,1)&amp;"|"&amp;IF(G210="slashing",1,0),_lookup!$G$3:$H$18,2,FALSE),""))))</f>
        <v/>
      </c>
      <c r="L210">
        <f>IF(K210="","",IF(OR(G210="channeling",G210="infusing"),"Magical",IF(G210="blocking","Anti-Physical",IF(G210="warding","Anti-Magical","Physical"))))</f>
        <v/>
      </c>
      <c r="O210">
        <f>IF(F210&lt;&gt;"armor","","TBD")</f>
        <v/>
      </c>
      <c r="P210">
        <f>IF(O210="","",IF(OR(G210="channeling",G210="infusing"),"Magical",IF(G210="blocking","Anti-Physical",IF(G210="warding","Anti-Magical","Physical"))))</f>
        <v/>
      </c>
    </row>
    <row r="211">
      <c r="J211">
        <f>IF(G211="","",IFERROR(IF(G211="infusing",IFERROR(LOOKUP(2,1/ISNUMBER(SEARCH(_lookup!$D$3:$D$4,H211)),_lookup!$E$3:$E$4),"INT"),VLOOKUP(G211,_lookup!$A$3:$B$14,2,FALSE)),""))</f>
        <v/>
      </c>
      <c r="K211">
        <f>IF(F211&lt;&gt;"weapon","",IF(G211="miscellaneous","1-4",IF(I211="","",IFERROR(VLOOKUP(I211&amp;"|"&amp;IF(LEFT(H211,2)="2H",2,1)&amp;"|"&amp;IF(G211="slashing",1,0),_lookup!$G$3:$H$18,2,FALSE),""))))</f>
        <v/>
      </c>
      <c r="L211">
        <f>IF(K211="","",IF(OR(G211="channeling",G211="infusing"),"Magical",IF(G211="blocking","Anti-Physical",IF(G211="warding","Anti-Magical","Physical"))))</f>
        <v/>
      </c>
      <c r="O211">
        <f>IF(F211&lt;&gt;"armor","","TBD")</f>
        <v/>
      </c>
      <c r="P211">
        <f>IF(O211="","",IF(OR(G211="channeling",G211="infusing"),"Magical",IF(G211="blocking","Anti-Physical",IF(G211="warding","Anti-Magical","Physical"))))</f>
        <v/>
      </c>
    </row>
    <row r="212">
      <c r="J212">
        <f>IF(G212="","",IFERROR(IF(G212="infusing",IFERROR(LOOKUP(2,1/ISNUMBER(SEARCH(_lookup!$D$3:$D$4,H212)),_lookup!$E$3:$E$4),"INT"),VLOOKUP(G212,_lookup!$A$3:$B$14,2,FALSE)),""))</f>
        <v/>
      </c>
      <c r="K212">
        <f>IF(F212&lt;&gt;"weapon","",IF(G212="miscellaneous","1-4",IF(I212="","",IFERROR(VLOOKUP(I212&amp;"|"&amp;IF(LEFT(H212,2)="2H",2,1)&amp;"|"&amp;IF(G212="slashing",1,0),_lookup!$G$3:$H$18,2,FALSE),""))))</f>
        <v/>
      </c>
      <c r="L212">
        <f>IF(K212="","",IF(OR(G212="channeling",G212="infusing"),"Magical",IF(G212="blocking","Anti-Physical",IF(G212="warding","Anti-Magical","Physical"))))</f>
        <v/>
      </c>
      <c r="O212">
        <f>IF(F212&lt;&gt;"armor","","TBD")</f>
        <v/>
      </c>
      <c r="P212">
        <f>IF(O212="","",IF(OR(G212="channeling",G212="infusing"),"Magical",IF(G212="blocking","Anti-Physical",IF(G212="warding","Anti-Magical","Physical"))))</f>
        <v/>
      </c>
    </row>
    <row r="213">
      <c r="J213">
        <f>IF(G213="","",IFERROR(IF(G213="infusing",IFERROR(LOOKUP(2,1/ISNUMBER(SEARCH(_lookup!$D$3:$D$4,H213)),_lookup!$E$3:$E$4),"INT"),VLOOKUP(G213,_lookup!$A$3:$B$14,2,FALSE)),""))</f>
        <v/>
      </c>
      <c r="K213">
        <f>IF(F213&lt;&gt;"weapon","",IF(G213="miscellaneous","1-4",IF(I213="","",IFERROR(VLOOKUP(I213&amp;"|"&amp;IF(LEFT(H213,2)="2H",2,1)&amp;"|"&amp;IF(G213="slashing",1,0),_lookup!$G$3:$H$18,2,FALSE),""))))</f>
        <v/>
      </c>
      <c r="L213">
        <f>IF(K213="","",IF(OR(G213="channeling",G213="infusing"),"Magical",IF(G213="blocking","Anti-Physical",IF(G213="warding","Anti-Magical","Physical"))))</f>
        <v/>
      </c>
      <c r="O213">
        <f>IF(F213&lt;&gt;"armor","","TBD")</f>
        <v/>
      </c>
      <c r="P213">
        <f>IF(O213="","",IF(OR(G213="channeling",G213="infusing"),"Magical",IF(G213="blocking","Anti-Physical",IF(G213="warding","Anti-Magical","Physical"))))</f>
        <v/>
      </c>
    </row>
    <row r="214">
      <c r="J214">
        <f>IF(G214="","",IFERROR(IF(G214="infusing",IFERROR(LOOKUP(2,1/ISNUMBER(SEARCH(_lookup!$D$3:$D$4,H214)),_lookup!$E$3:$E$4),"INT"),VLOOKUP(G214,_lookup!$A$3:$B$14,2,FALSE)),""))</f>
        <v/>
      </c>
      <c r="K214">
        <f>IF(F214&lt;&gt;"weapon","",IF(G214="miscellaneous","1-4",IF(I214="","",IFERROR(VLOOKUP(I214&amp;"|"&amp;IF(LEFT(H214,2)="2H",2,1)&amp;"|"&amp;IF(G214="slashing",1,0),_lookup!$G$3:$H$18,2,FALSE),""))))</f>
        <v/>
      </c>
      <c r="L214">
        <f>IF(K214="","",IF(OR(G214="channeling",G214="infusing"),"Magical",IF(G214="blocking","Anti-Physical",IF(G214="warding","Anti-Magical","Physical"))))</f>
        <v/>
      </c>
      <c r="O214">
        <f>IF(F214&lt;&gt;"armor","","TBD")</f>
        <v/>
      </c>
      <c r="P214">
        <f>IF(O214="","",IF(OR(G214="channeling",G214="infusing"),"Magical",IF(G214="blocking","Anti-Physical",IF(G214="warding","Anti-Magical","Physical"))))</f>
        <v/>
      </c>
    </row>
    <row r="215">
      <c r="J215">
        <f>IF(G215="","",IFERROR(IF(G215="infusing",IFERROR(LOOKUP(2,1/ISNUMBER(SEARCH(_lookup!$D$3:$D$4,H215)),_lookup!$E$3:$E$4),"INT"),VLOOKUP(G215,_lookup!$A$3:$B$14,2,FALSE)),""))</f>
        <v/>
      </c>
      <c r="K215">
        <f>IF(F215&lt;&gt;"weapon","",IF(G215="miscellaneous","1-4",IF(I215="","",IFERROR(VLOOKUP(I215&amp;"|"&amp;IF(LEFT(H215,2)="2H",2,1)&amp;"|"&amp;IF(G215="slashing",1,0),_lookup!$G$3:$H$18,2,FALSE),""))))</f>
        <v/>
      </c>
      <c r="L215">
        <f>IF(K215="","",IF(OR(G215="channeling",G215="infusing"),"Magical",IF(G215="blocking","Anti-Physical",IF(G215="warding","Anti-Magical","Physical"))))</f>
        <v/>
      </c>
      <c r="O215">
        <f>IF(F215&lt;&gt;"armor","","TBD")</f>
        <v/>
      </c>
      <c r="P215">
        <f>IF(O215="","",IF(OR(G215="channeling",G215="infusing"),"Magical",IF(G215="blocking","Anti-Physical",IF(G215="warding","Anti-Magical","Physical"))))</f>
        <v/>
      </c>
    </row>
    <row r="216">
      <c r="J216">
        <f>IF(G216="","",IFERROR(IF(G216="infusing",IFERROR(LOOKUP(2,1/ISNUMBER(SEARCH(_lookup!$D$3:$D$4,H216)),_lookup!$E$3:$E$4),"INT"),VLOOKUP(G216,_lookup!$A$3:$B$14,2,FALSE)),""))</f>
        <v/>
      </c>
      <c r="K216">
        <f>IF(F216&lt;&gt;"weapon","",IF(G216="miscellaneous","1-4",IF(I216="","",IFERROR(VLOOKUP(I216&amp;"|"&amp;IF(LEFT(H216,2)="2H",2,1)&amp;"|"&amp;IF(G216="slashing",1,0),_lookup!$G$3:$H$18,2,FALSE),""))))</f>
        <v/>
      </c>
      <c r="L216">
        <f>IF(K216="","",IF(OR(G216="channeling",G216="infusing"),"Magical",IF(G216="blocking","Anti-Physical",IF(G216="warding","Anti-Magical","Physical"))))</f>
        <v/>
      </c>
      <c r="O216">
        <f>IF(F216&lt;&gt;"armor","","TBD")</f>
        <v/>
      </c>
      <c r="P216">
        <f>IF(O216="","",IF(OR(G216="channeling",G216="infusing"),"Magical",IF(G216="blocking","Anti-Physical",IF(G216="warding","Anti-Magical","Physical"))))</f>
        <v/>
      </c>
    </row>
    <row r="217">
      <c r="J217">
        <f>IF(G217="","",IFERROR(IF(G217="infusing",IFERROR(LOOKUP(2,1/ISNUMBER(SEARCH(_lookup!$D$3:$D$4,H217)),_lookup!$E$3:$E$4),"INT"),VLOOKUP(G217,_lookup!$A$3:$B$14,2,FALSE)),""))</f>
        <v/>
      </c>
      <c r="K217">
        <f>IF(F217&lt;&gt;"weapon","",IF(G217="miscellaneous","1-4",IF(I217="","",IFERROR(VLOOKUP(I217&amp;"|"&amp;IF(LEFT(H217,2)="2H",2,1)&amp;"|"&amp;IF(G217="slashing",1,0),_lookup!$G$3:$H$18,2,FALSE),""))))</f>
        <v/>
      </c>
      <c r="L217">
        <f>IF(K217="","",IF(OR(G217="channeling",G217="infusing"),"Magical",IF(G217="blocking","Anti-Physical",IF(G217="warding","Anti-Magical","Physical"))))</f>
        <v/>
      </c>
      <c r="O217">
        <f>IF(F217&lt;&gt;"armor","","TBD")</f>
        <v/>
      </c>
      <c r="P217">
        <f>IF(O217="","",IF(OR(G217="channeling",G217="infusing"),"Magical",IF(G217="blocking","Anti-Physical",IF(G217="warding","Anti-Magical","Physical"))))</f>
        <v/>
      </c>
    </row>
    <row r="218">
      <c r="J218">
        <f>IF(G218="","",IFERROR(IF(G218="infusing",IFERROR(LOOKUP(2,1/ISNUMBER(SEARCH(_lookup!$D$3:$D$4,H218)),_lookup!$E$3:$E$4),"INT"),VLOOKUP(G218,_lookup!$A$3:$B$14,2,FALSE)),""))</f>
        <v/>
      </c>
      <c r="K218">
        <f>IF(F218&lt;&gt;"weapon","",IF(G218="miscellaneous","1-4",IF(I218="","",IFERROR(VLOOKUP(I218&amp;"|"&amp;IF(LEFT(H218,2)="2H",2,1)&amp;"|"&amp;IF(G218="slashing",1,0),_lookup!$G$3:$H$18,2,FALSE),""))))</f>
        <v/>
      </c>
      <c r="L218">
        <f>IF(K218="","",IF(OR(G218="channeling",G218="infusing"),"Magical",IF(G218="blocking","Anti-Physical",IF(G218="warding","Anti-Magical","Physical"))))</f>
        <v/>
      </c>
      <c r="O218">
        <f>IF(F218&lt;&gt;"armor","","TBD")</f>
        <v/>
      </c>
      <c r="P218">
        <f>IF(O218="","",IF(OR(G218="channeling",G218="infusing"),"Magical",IF(G218="blocking","Anti-Physical",IF(G218="warding","Anti-Magical","Physical"))))</f>
        <v/>
      </c>
    </row>
    <row r="219">
      <c r="J219">
        <f>IF(G219="","",IFERROR(IF(G219="infusing",IFERROR(LOOKUP(2,1/ISNUMBER(SEARCH(_lookup!$D$3:$D$4,H219)),_lookup!$E$3:$E$4),"INT"),VLOOKUP(G219,_lookup!$A$3:$B$14,2,FALSE)),""))</f>
        <v/>
      </c>
      <c r="K219">
        <f>IF(F219&lt;&gt;"weapon","",IF(G219="miscellaneous","1-4",IF(I219="","",IFERROR(VLOOKUP(I219&amp;"|"&amp;IF(LEFT(H219,2)="2H",2,1)&amp;"|"&amp;IF(G219="slashing",1,0),_lookup!$G$3:$H$18,2,FALSE),""))))</f>
        <v/>
      </c>
      <c r="L219">
        <f>IF(K219="","",IF(OR(G219="channeling",G219="infusing"),"Magical",IF(G219="blocking","Anti-Physical",IF(G219="warding","Anti-Magical","Physical"))))</f>
        <v/>
      </c>
      <c r="O219">
        <f>IF(F219&lt;&gt;"armor","","TBD")</f>
        <v/>
      </c>
      <c r="P219">
        <f>IF(O219="","",IF(OR(G219="channeling",G219="infusing"),"Magical",IF(G219="blocking","Anti-Physical",IF(G219="warding","Anti-Magical","Physical"))))</f>
        <v/>
      </c>
    </row>
    <row r="220">
      <c r="J220">
        <f>IF(G220="","",IFERROR(IF(G220="infusing",IFERROR(LOOKUP(2,1/ISNUMBER(SEARCH(_lookup!$D$3:$D$4,H220)),_lookup!$E$3:$E$4),"INT"),VLOOKUP(G220,_lookup!$A$3:$B$14,2,FALSE)),""))</f>
        <v/>
      </c>
      <c r="K220">
        <f>IF(F220&lt;&gt;"weapon","",IF(G220="miscellaneous","1-4",IF(I220="","",IFERROR(VLOOKUP(I220&amp;"|"&amp;IF(LEFT(H220,2)="2H",2,1)&amp;"|"&amp;IF(G220="slashing",1,0),_lookup!$G$3:$H$18,2,FALSE),""))))</f>
        <v/>
      </c>
      <c r="L220">
        <f>IF(K220="","",IF(OR(G220="channeling",G220="infusing"),"Magical",IF(G220="blocking","Anti-Physical",IF(G220="warding","Anti-Magical","Physical"))))</f>
        <v/>
      </c>
      <c r="O220">
        <f>IF(F220&lt;&gt;"armor","","TBD")</f>
        <v/>
      </c>
      <c r="P220">
        <f>IF(O220="","",IF(OR(G220="channeling",G220="infusing"),"Magical",IF(G220="blocking","Anti-Physical",IF(G220="warding","Anti-Magical","Physical"))))</f>
        <v/>
      </c>
    </row>
    <row r="221">
      <c r="J221">
        <f>IF(G221="","",IFERROR(IF(G221="infusing",IFERROR(LOOKUP(2,1/ISNUMBER(SEARCH(_lookup!$D$3:$D$4,H221)),_lookup!$E$3:$E$4),"INT"),VLOOKUP(G221,_lookup!$A$3:$B$14,2,FALSE)),""))</f>
        <v/>
      </c>
      <c r="K221">
        <f>IF(F221&lt;&gt;"weapon","",IF(G221="miscellaneous","1-4",IF(I221="","",IFERROR(VLOOKUP(I221&amp;"|"&amp;IF(LEFT(H221,2)="2H",2,1)&amp;"|"&amp;IF(G221="slashing",1,0),_lookup!$G$3:$H$18,2,FALSE),""))))</f>
        <v/>
      </c>
      <c r="L221">
        <f>IF(K221="","",IF(OR(G221="channeling",G221="infusing"),"Magical",IF(G221="blocking","Anti-Physical",IF(G221="warding","Anti-Magical","Physical"))))</f>
        <v/>
      </c>
      <c r="O221">
        <f>IF(F221&lt;&gt;"armor","","TBD")</f>
        <v/>
      </c>
      <c r="P221">
        <f>IF(O221="","",IF(OR(G221="channeling",G221="infusing"),"Magical",IF(G221="blocking","Anti-Physical",IF(G221="warding","Anti-Magical","Physical"))))</f>
        <v/>
      </c>
    </row>
    <row r="222">
      <c r="J222">
        <f>IF(G222="","",IFERROR(IF(G222="infusing",IFERROR(LOOKUP(2,1/ISNUMBER(SEARCH(_lookup!$D$3:$D$4,H222)),_lookup!$E$3:$E$4),"INT"),VLOOKUP(G222,_lookup!$A$3:$B$14,2,FALSE)),""))</f>
        <v/>
      </c>
      <c r="K222">
        <f>IF(F222&lt;&gt;"weapon","",IF(G222="miscellaneous","1-4",IF(I222="","",IFERROR(VLOOKUP(I222&amp;"|"&amp;IF(LEFT(H222,2)="2H",2,1)&amp;"|"&amp;IF(G222="slashing",1,0),_lookup!$G$3:$H$18,2,FALSE),""))))</f>
        <v/>
      </c>
      <c r="L222">
        <f>IF(K222="","",IF(OR(G222="channeling",G222="infusing"),"Magical",IF(G222="blocking","Anti-Physical",IF(G222="warding","Anti-Magical","Physical"))))</f>
        <v/>
      </c>
      <c r="O222">
        <f>IF(F222&lt;&gt;"armor","","TBD")</f>
        <v/>
      </c>
      <c r="P222">
        <f>IF(O222="","",IF(OR(G222="channeling",G222="infusing"),"Magical",IF(G222="blocking","Anti-Physical",IF(G222="warding","Anti-Magical","Physical"))))</f>
        <v/>
      </c>
    </row>
    <row r="223">
      <c r="J223">
        <f>IF(G223="","",IFERROR(IF(G223="infusing",IFERROR(LOOKUP(2,1/ISNUMBER(SEARCH(_lookup!$D$3:$D$4,H223)),_lookup!$E$3:$E$4),"INT"),VLOOKUP(G223,_lookup!$A$3:$B$14,2,FALSE)),""))</f>
        <v/>
      </c>
      <c r="K223">
        <f>IF(F223&lt;&gt;"weapon","",IF(G223="miscellaneous","1-4",IF(I223="","",IFERROR(VLOOKUP(I223&amp;"|"&amp;IF(LEFT(H223,2)="2H",2,1)&amp;"|"&amp;IF(G223="slashing",1,0),_lookup!$G$3:$H$18,2,FALSE),""))))</f>
        <v/>
      </c>
      <c r="L223">
        <f>IF(K223="","",IF(OR(G223="channeling",G223="infusing"),"Magical",IF(G223="blocking","Anti-Physical",IF(G223="warding","Anti-Magical","Physical"))))</f>
        <v/>
      </c>
      <c r="O223">
        <f>IF(F223&lt;&gt;"armor","","TBD")</f>
        <v/>
      </c>
      <c r="P223">
        <f>IF(O223="","",IF(OR(G223="channeling",G223="infusing"),"Magical",IF(G223="blocking","Anti-Physical",IF(G223="warding","Anti-Magical","Physical"))))</f>
        <v/>
      </c>
    </row>
    <row r="224">
      <c r="J224">
        <f>IF(G224="","",IFERROR(IF(G224="infusing",IFERROR(LOOKUP(2,1/ISNUMBER(SEARCH(_lookup!$D$3:$D$4,H224)),_lookup!$E$3:$E$4),"INT"),VLOOKUP(G224,_lookup!$A$3:$B$14,2,FALSE)),""))</f>
        <v/>
      </c>
      <c r="K224">
        <f>IF(F224&lt;&gt;"weapon","",IF(G224="miscellaneous","1-4",IF(I224="","",IFERROR(VLOOKUP(I224&amp;"|"&amp;IF(LEFT(H224,2)="2H",2,1)&amp;"|"&amp;IF(G224="slashing",1,0),_lookup!$G$3:$H$18,2,FALSE),""))))</f>
        <v/>
      </c>
      <c r="L224">
        <f>IF(K224="","",IF(OR(G224="channeling",G224="infusing"),"Magical",IF(G224="blocking","Anti-Physical",IF(G224="warding","Anti-Magical","Physical"))))</f>
        <v/>
      </c>
      <c r="O224">
        <f>IF(F224&lt;&gt;"armor","","TBD")</f>
        <v/>
      </c>
      <c r="P224">
        <f>IF(O224="","",IF(OR(G224="channeling",G224="infusing"),"Magical",IF(G224="blocking","Anti-Physical",IF(G224="warding","Anti-Magical","Physical"))))</f>
        <v/>
      </c>
    </row>
    <row r="225">
      <c r="J225">
        <f>IF(G225="","",IFERROR(IF(G225="infusing",IFERROR(LOOKUP(2,1/ISNUMBER(SEARCH(_lookup!$D$3:$D$4,H225)),_lookup!$E$3:$E$4),"INT"),VLOOKUP(G225,_lookup!$A$3:$B$14,2,FALSE)),""))</f>
        <v/>
      </c>
      <c r="K225">
        <f>IF(F225&lt;&gt;"weapon","",IF(G225="miscellaneous","1-4",IF(I225="","",IFERROR(VLOOKUP(I225&amp;"|"&amp;IF(LEFT(H225,2)="2H",2,1)&amp;"|"&amp;IF(G225="slashing",1,0),_lookup!$G$3:$H$18,2,FALSE),""))))</f>
        <v/>
      </c>
      <c r="L225">
        <f>IF(K225="","",IF(OR(G225="channeling",G225="infusing"),"Magical",IF(G225="blocking","Anti-Physical",IF(G225="warding","Anti-Magical","Physical"))))</f>
        <v/>
      </c>
      <c r="O225">
        <f>IF(F225&lt;&gt;"armor","","TBD")</f>
        <v/>
      </c>
      <c r="P225">
        <f>IF(O225="","",IF(OR(G225="channeling",G225="infusing"),"Magical",IF(G225="blocking","Anti-Physical",IF(G225="warding","Anti-Magical","Physical"))))</f>
        <v/>
      </c>
    </row>
    <row r="226">
      <c r="J226">
        <f>IF(G226="","",IFERROR(IF(G226="infusing",IFERROR(LOOKUP(2,1/ISNUMBER(SEARCH(_lookup!$D$3:$D$4,H226)),_lookup!$E$3:$E$4),"INT"),VLOOKUP(G226,_lookup!$A$3:$B$14,2,FALSE)),""))</f>
        <v/>
      </c>
      <c r="K226">
        <f>IF(F226&lt;&gt;"weapon","",IF(G226="miscellaneous","1-4",IF(I226="","",IFERROR(VLOOKUP(I226&amp;"|"&amp;IF(LEFT(H226,2)="2H",2,1)&amp;"|"&amp;IF(G226="slashing",1,0),_lookup!$G$3:$H$18,2,FALSE),""))))</f>
        <v/>
      </c>
      <c r="L226">
        <f>IF(K226="","",IF(OR(G226="channeling",G226="infusing"),"Magical",IF(G226="blocking","Anti-Physical",IF(G226="warding","Anti-Magical","Physical"))))</f>
        <v/>
      </c>
      <c r="O226">
        <f>IF(F226&lt;&gt;"armor","","TBD")</f>
        <v/>
      </c>
      <c r="P226">
        <f>IF(O226="","",IF(OR(G226="channeling",G226="infusing"),"Magical",IF(G226="blocking","Anti-Physical",IF(G226="warding","Anti-Magical","Physical"))))</f>
        <v/>
      </c>
    </row>
    <row r="227">
      <c r="J227">
        <f>IF(G227="","",IFERROR(IF(G227="infusing",IFERROR(LOOKUP(2,1/ISNUMBER(SEARCH(_lookup!$D$3:$D$4,H227)),_lookup!$E$3:$E$4),"INT"),VLOOKUP(G227,_lookup!$A$3:$B$14,2,FALSE)),""))</f>
        <v/>
      </c>
      <c r="K227">
        <f>IF(F227&lt;&gt;"weapon","",IF(G227="miscellaneous","1-4",IF(I227="","",IFERROR(VLOOKUP(I227&amp;"|"&amp;IF(LEFT(H227,2)="2H",2,1)&amp;"|"&amp;IF(G227="slashing",1,0),_lookup!$G$3:$H$18,2,FALSE),""))))</f>
        <v/>
      </c>
      <c r="L227">
        <f>IF(K227="","",IF(OR(G227="channeling",G227="infusing"),"Magical",IF(G227="blocking","Anti-Physical",IF(G227="warding","Anti-Magical","Physical"))))</f>
        <v/>
      </c>
      <c r="O227">
        <f>IF(F227&lt;&gt;"armor","","TBD")</f>
        <v/>
      </c>
      <c r="P227">
        <f>IF(O227="","",IF(OR(G227="channeling",G227="infusing"),"Magical",IF(G227="blocking","Anti-Physical",IF(G227="warding","Anti-Magical","Physical"))))</f>
        <v/>
      </c>
    </row>
    <row r="228">
      <c r="J228">
        <f>IF(G228="","",IFERROR(IF(G228="infusing",IFERROR(LOOKUP(2,1/ISNUMBER(SEARCH(_lookup!$D$3:$D$4,H228)),_lookup!$E$3:$E$4),"INT"),VLOOKUP(G228,_lookup!$A$3:$B$14,2,FALSE)),""))</f>
        <v/>
      </c>
      <c r="K228">
        <f>IF(F228&lt;&gt;"weapon","",IF(G228="miscellaneous","1-4",IF(I228="","",IFERROR(VLOOKUP(I228&amp;"|"&amp;IF(LEFT(H228,2)="2H",2,1)&amp;"|"&amp;IF(G228="slashing",1,0),_lookup!$G$3:$H$18,2,FALSE),""))))</f>
        <v/>
      </c>
      <c r="L228">
        <f>IF(K228="","",IF(OR(G228="channeling",G228="infusing"),"Magical",IF(G228="blocking","Anti-Physical",IF(G228="warding","Anti-Magical","Physical"))))</f>
        <v/>
      </c>
      <c r="O228">
        <f>IF(F228&lt;&gt;"armor","","TBD")</f>
        <v/>
      </c>
      <c r="P228">
        <f>IF(O228="","",IF(OR(G228="channeling",G228="infusing"),"Magical",IF(G228="blocking","Anti-Physical",IF(G228="warding","Anti-Magical","Physical"))))</f>
        <v/>
      </c>
    </row>
    <row r="229">
      <c r="J229">
        <f>IF(G229="","",IFERROR(IF(G229="infusing",IFERROR(LOOKUP(2,1/ISNUMBER(SEARCH(_lookup!$D$3:$D$4,H229)),_lookup!$E$3:$E$4),"INT"),VLOOKUP(G229,_lookup!$A$3:$B$14,2,FALSE)),""))</f>
        <v/>
      </c>
      <c r="K229">
        <f>IF(F229&lt;&gt;"weapon","",IF(G229="miscellaneous","1-4",IF(I229="","",IFERROR(VLOOKUP(I229&amp;"|"&amp;IF(LEFT(H229,2)="2H",2,1)&amp;"|"&amp;IF(G229="slashing",1,0),_lookup!$G$3:$H$18,2,FALSE),""))))</f>
        <v/>
      </c>
      <c r="L229">
        <f>IF(K229="","",IF(OR(G229="channeling",G229="infusing"),"Magical",IF(G229="blocking","Anti-Physical",IF(G229="warding","Anti-Magical","Physical"))))</f>
        <v/>
      </c>
      <c r="O229">
        <f>IF(F229&lt;&gt;"armor","","TBD")</f>
        <v/>
      </c>
      <c r="P229">
        <f>IF(O229="","",IF(OR(G229="channeling",G229="infusing"),"Magical",IF(G229="blocking","Anti-Physical",IF(G229="warding","Anti-Magical","Physical"))))</f>
        <v/>
      </c>
    </row>
    <row r="230">
      <c r="J230">
        <f>IF(G230="","",IFERROR(IF(G230="infusing",IFERROR(LOOKUP(2,1/ISNUMBER(SEARCH(_lookup!$D$3:$D$4,H230)),_lookup!$E$3:$E$4),"INT"),VLOOKUP(G230,_lookup!$A$3:$B$14,2,FALSE)),""))</f>
        <v/>
      </c>
      <c r="K230">
        <f>IF(F230&lt;&gt;"weapon","",IF(G230="miscellaneous","1-4",IF(I230="","",IFERROR(VLOOKUP(I230&amp;"|"&amp;IF(LEFT(H230,2)="2H",2,1)&amp;"|"&amp;IF(G230="slashing",1,0),_lookup!$G$3:$H$18,2,FALSE),""))))</f>
        <v/>
      </c>
      <c r="L230">
        <f>IF(K230="","",IF(OR(G230="channeling",G230="infusing"),"Magical",IF(G230="blocking","Anti-Physical",IF(G230="warding","Anti-Magical","Physical"))))</f>
        <v/>
      </c>
      <c r="O230">
        <f>IF(F230&lt;&gt;"armor","","TBD")</f>
        <v/>
      </c>
      <c r="P230">
        <f>IF(O230="","",IF(OR(G230="channeling",G230="infusing"),"Magical",IF(G230="blocking","Anti-Physical",IF(G230="warding","Anti-Magical","Physical"))))</f>
        <v/>
      </c>
    </row>
    <row r="231">
      <c r="J231">
        <f>IF(G231="","",IFERROR(IF(G231="infusing",IFERROR(LOOKUP(2,1/ISNUMBER(SEARCH(_lookup!$D$3:$D$4,H231)),_lookup!$E$3:$E$4),"INT"),VLOOKUP(G231,_lookup!$A$3:$B$14,2,FALSE)),""))</f>
        <v/>
      </c>
      <c r="K231">
        <f>IF(F231&lt;&gt;"weapon","",IF(G231="miscellaneous","1-4",IF(I231="","",IFERROR(VLOOKUP(I231&amp;"|"&amp;IF(LEFT(H231,2)="2H",2,1)&amp;"|"&amp;IF(G231="slashing",1,0),_lookup!$G$3:$H$18,2,FALSE),""))))</f>
        <v/>
      </c>
      <c r="L231">
        <f>IF(K231="","",IF(OR(G231="channeling",G231="infusing"),"Magical",IF(G231="blocking","Anti-Physical",IF(G231="warding","Anti-Magical","Physical"))))</f>
        <v/>
      </c>
      <c r="O231">
        <f>IF(F231&lt;&gt;"armor","","TBD")</f>
        <v/>
      </c>
      <c r="P231">
        <f>IF(O231="","",IF(OR(G231="channeling",G231="infusing"),"Magical",IF(G231="blocking","Anti-Physical",IF(G231="warding","Anti-Magical","Physical"))))</f>
        <v/>
      </c>
    </row>
    <row r="232">
      <c r="J232">
        <f>IF(G232="","",IFERROR(IF(G232="infusing",IFERROR(LOOKUP(2,1/ISNUMBER(SEARCH(_lookup!$D$3:$D$4,H232)),_lookup!$E$3:$E$4),"INT"),VLOOKUP(G232,_lookup!$A$3:$B$14,2,FALSE)),""))</f>
        <v/>
      </c>
      <c r="K232">
        <f>IF(F232&lt;&gt;"weapon","",IF(G232="miscellaneous","1-4",IF(I232="","",IFERROR(VLOOKUP(I232&amp;"|"&amp;IF(LEFT(H232,2)="2H",2,1)&amp;"|"&amp;IF(G232="slashing",1,0),_lookup!$G$3:$H$18,2,FALSE),""))))</f>
        <v/>
      </c>
      <c r="L232">
        <f>IF(K232="","",IF(OR(G232="channeling",G232="infusing"),"Magical",IF(G232="blocking","Anti-Physical",IF(G232="warding","Anti-Magical","Physical"))))</f>
        <v/>
      </c>
      <c r="O232">
        <f>IF(F232&lt;&gt;"armor","","TBD")</f>
        <v/>
      </c>
      <c r="P232">
        <f>IF(O232="","",IF(OR(G232="channeling",G232="infusing"),"Magical",IF(G232="blocking","Anti-Physical",IF(G232="warding","Anti-Magical","Physical"))))</f>
        <v/>
      </c>
    </row>
    <row r="233">
      <c r="J233">
        <f>IF(G233="","",IFERROR(IF(G233="infusing",IFERROR(LOOKUP(2,1/ISNUMBER(SEARCH(_lookup!$D$3:$D$4,H233)),_lookup!$E$3:$E$4),"INT"),VLOOKUP(G233,_lookup!$A$3:$B$14,2,FALSE)),""))</f>
        <v/>
      </c>
      <c r="K233">
        <f>IF(F233&lt;&gt;"weapon","",IF(G233="miscellaneous","1-4",IF(I233="","",IFERROR(VLOOKUP(I233&amp;"|"&amp;IF(LEFT(H233,2)="2H",2,1)&amp;"|"&amp;IF(G233="slashing",1,0),_lookup!$G$3:$H$18,2,FALSE),""))))</f>
        <v/>
      </c>
      <c r="L233">
        <f>IF(K233="","",IF(OR(G233="channeling",G233="infusing"),"Magical",IF(G233="blocking","Anti-Physical",IF(G233="warding","Anti-Magical","Physical"))))</f>
        <v/>
      </c>
      <c r="O233">
        <f>IF(F233&lt;&gt;"armor","","TBD")</f>
        <v/>
      </c>
      <c r="P233">
        <f>IF(O233="","",IF(OR(G233="channeling",G233="infusing"),"Magical",IF(G233="blocking","Anti-Physical",IF(G233="warding","Anti-Magical","Physical"))))</f>
        <v/>
      </c>
    </row>
    <row r="234">
      <c r="J234">
        <f>IF(G234="","",IFERROR(IF(G234="infusing",IFERROR(LOOKUP(2,1/ISNUMBER(SEARCH(_lookup!$D$3:$D$4,H234)),_lookup!$E$3:$E$4),"INT"),VLOOKUP(G234,_lookup!$A$3:$B$14,2,FALSE)),""))</f>
        <v/>
      </c>
      <c r="K234">
        <f>IF(F234&lt;&gt;"weapon","",IF(G234="miscellaneous","1-4",IF(I234="","",IFERROR(VLOOKUP(I234&amp;"|"&amp;IF(LEFT(H234,2)="2H",2,1)&amp;"|"&amp;IF(G234="slashing",1,0),_lookup!$G$3:$H$18,2,FALSE),""))))</f>
        <v/>
      </c>
      <c r="L234">
        <f>IF(K234="","",IF(OR(G234="channeling",G234="infusing"),"Magical",IF(G234="blocking","Anti-Physical",IF(G234="warding","Anti-Magical","Physical"))))</f>
        <v/>
      </c>
      <c r="O234">
        <f>IF(F234&lt;&gt;"armor","","TBD")</f>
        <v/>
      </c>
      <c r="P234">
        <f>IF(O234="","",IF(OR(G234="channeling",G234="infusing"),"Magical",IF(G234="blocking","Anti-Physical",IF(G234="warding","Anti-Magical","Physical"))))</f>
        <v/>
      </c>
    </row>
    <row r="235">
      <c r="J235">
        <f>IF(G235="","",IFERROR(IF(G235="infusing",IFERROR(LOOKUP(2,1/ISNUMBER(SEARCH(_lookup!$D$3:$D$4,H235)),_lookup!$E$3:$E$4),"INT"),VLOOKUP(G235,_lookup!$A$3:$B$14,2,FALSE)),""))</f>
        <v/>
      </c>
      <c r="K235">
        <f>IF(F235&lt;&gt;"weapon","",IF(G235="miscellaneous","1-4",IF(I235="","",IFERROR(VLOOKUP(I235&amp;"|"&amp;IF(LEFT(H235,2)="2H",2,1)&amp;"|"&amp;IF(G235="slashing",1,0),_lookup!$G$3:$H$18,2,FALSE),""))))</f>
        <v/>
      </c>
      <c r="L235">
        <f>IF(K235="","",IF(OR(G235="channeling",G235="infusing"),"Magical",IF(G235="blocking","Anti-Physical",IF(G235="warding","Anti-Magical","Physical"))))</f>
        <v/>
      </c>
      <c r="O235">
        <f>IF(F235&lt;&gt;"armor","","TBD")</f>
        <v/>
      </c>
      <c r="P235">
        <f>IF(O235="","",IF(OR(G235="channeling",G235="infusing"),"Magical",IF(G235="blocking","Anti-Physical",IF(G235="warding","Anti-Magical","Physical"))))</f>
        <v/>
      </c>
    </row>
    <row r="236">
      <c r="J236">
        <f>IF(G236="","",IFERROR(IF(G236="infusing",IFERROR(LOOKUP(2,1/ISNUMBER(SEARCH(_lookup!$D$3:$D$4,H236)),_lookup!$E$3:$E$4),"INT"),VLOOKUP(G236,_lookup!$A$3:$B$14,2,FALSE)),""))</f>
        <v/>
      </c>
      <c r="K236">
        <f>IF(F236&lt;&gt;"weapon","",IF(G236="miscellaneous","1-4",IF(I236="","",IFERROR(VLOOKUP(I236&amp;"|"&amp;IF(LEFT(H236,2)="2H",2,1)&amp;"|"&amp;IF(G236="slashing",1,0),_lookup!$G$3:$H$18,2,FALSE),""))))</f>
        <v/>
      </c>
      <c r="L236">
        <f>IF(K236="","",IF(OR(G236="channeling",G236="infusing"),"Magical",IF(G236="blocking","Anti-Physical",IF(G236="warding","Anti-Magical","Physical"))))</f>
        <v/>
      </c>
      <c r="O236">
        <f>IF(F236&lt;&gt;"armor","","TBD")</f>
        <v/>
      </c>
      <c r="P236">
        <f>IF(O236="","",IF(OR(G236="channeling",G236="infusing"),"Magical",IF(G236="blocking","Anti-Physical",IF(G236="warding","Anti-Magical","Physical"))))</f>
        <v/>
      </c>
    </row>
    <row r="237">
      <c r="J237">
        <f>IF(G237="","",IFERROR(IF(G237="infusing",IFERROR(LOOKUP(2,1/ISNUMBER(SEARCH(_lookup!$D$3:$D$4,H237)),_lookup!$E$3:$E$4),"INT"),VLOOKUP(G237,_lookup!$A$3:$B$14,2,FALSE)),""))</f>
        <v/>
      </c>
      <c r="K237">
        <f>IF(F237&lt;&gt;"weapon","",IF(G237="miscellaneous","1-4",IF(I237="","",IFERROR(VLOOKUP(I237&amp;"|"&amp;IF(LEFT(H237,2)="2H",2,1)&amp;"|"&amp;IF(G237="slashing",1,0),_lookup!$G$3:$H$18,2,FALSE),""))))</f>
        <v/>
      </c>
      <c r="L237">
        <f>IF(K237="","",IF(OR(G237="channeling",G237="infusing"),"Magical",IF(G237="blocking","Anti-Physical",IF(G237="warding","Anti-Magical","Physical"))))</f>
        <v/>
      </c>
      <c r="O237">
        <f>IF(F237&lt;&gt;"armor","","TBD")</f>
        <v/>
      </c>
      <c r="P237">
        <f>IF(O237="","",IF(OR(G237="channeling",G237="infusing"),"Magical",IF(G237="blocking","Anti-Physical",IF(G237="warding","Anti-Magical","Physical"))))</f>
        <v/>
      </c>
    </row>
    <row r="238">
      <c r="J238">
        <f>IF(G238="","",IFERROR(IF(G238="infusing",IFERROR(LOOKUP(2,1/ISNUMBER(SEARCH(_lookup!$D$3:$D$4,H238)),_lookup!$E$3:$E$4),"INT"),VLOOKUP(G238,_lookup!$A$3:$B$14,2,FALSE)),""))</f>
        <v/>
      </c>
      <c r="K238">
        <f>IF(F238&lt;&gt;"weapon","",IF(G238="miscellaneous","1-4",IF(I238="","",IFERROR(VLOOKUP(I238&amp;"|"&amp;IF(LEFT(H238,2)="2H",2,1)&amp;"|"&amp;IF(G238="slashing",1,0),_lookup!$G$3:$H$18,2,FALSE),""))))</f>
        <v/>
      </c>
      <c r="L238">
        <f>IF(K238="","",IF(OR(G238="channeling",G238="infusing"),"Magical",IF(G238="blocking","Anti-Physical",IF(G238="warding","Anti-Magical","Physical"))))</f>
        <v/>
      </c>
      <c r="O238">
        <f>IF(F238&lt;&gt;"armor","","TBD")</f>
        <v/>
      </c>
      <c r="P238">
        <f>IF(O238="","",IF(OR(G238="channeling",G238="infusing"),"Magical",IF(G238="blocking","Anti-Physical",IF(G238="warding","Anti-Magical","Physical"))))</f>
        <v/>
      </c>
    </row>
    <row r="239">
      <c r="J239">
        <f>IF(G239="","",IFERROR(IF(G239="infusing",IFERROR(LOOKUP(2,1/ISNUMBER(SEARCH(_lookup!$D$3:$D$4,H239)),_lookup!$E$3:$E$4),"INT"),VLOOKUP(G239,_lookup!$A$3:$B$14,2,FALSE)),""))</f>
        <v/>
      </c>
      <c r="K239">
        <f>IF(F239&lt;&gt;"weapon","",IF(G239="miscellaneous","1-4",IF(I239="","",IFERROR(VLOOKUP(I239&amp;"|"&amp;IF(LEFT(H239,2)="2H",2,1)&amp;"|"&amp;IF(G239="slashing",1,0),_lookup!$G$3:$H$18,2,FALSE),""))))</f>
        <v/>
      </c>
      <c r="L239">
        <f>IF(K239="","",IF(OR(G239="channeling",G239="infusing"),"Magical",IF(G239="blocking","Anti-Physical",IF(G239="warding","Anti-Magical","Physical"))))</f>
        <v/>
      </c>
      <c r="O239">
        <f>IF(F239&lt;&gt;"armor","","TBD")</f>
        <v/>
      </c>
      <c r="P239">
        <f>IF(O239="","",IF(OR(G239="channeling",G239="infusing"),"Magical",IF(G239="blocking","Anti-Physical",IF(G239="warding","Anti-Magical","Physical"))))</f>
        <v/>
      </c>
    </row>
    <row r="240">
      <c r="J240">
        <f>IF(G240="","",IFERROR(IF(G240="infusing",IFERROR(LOOKUP(2,1/ISNUMBER(SEARCH(_lookup!$D$3:$D$4,H240)),_lookup!$E$3:$E$4),"INT"),VLOOKUP(G240,_lookup!$A$3:$B$14,2,FALSE)),""))</f>
        <v/>
      </c>
      <c r="K240">
        <f>IF(F240&lt;&gt;"weapon","",IF(G240="miscellaneous","1-4",IF(I240="","",IFERROR(VLOOKUP(I240&amp;"|"&amp;IF(LEFT(H240,2)="2H",2,1)&amp;"|"&amp;IF(G240="slashing",1,0),_lookup!$G$3:$H$18,2,FALSE),""))))</f>
        <v/>
      </c>
      <c r="L240">
        <f>IF(K240="","",IF(OR(G240="channeling",G240="infusing"),"Magical",IF(G240="blocking","Anti-Physical",IF(G240="warding","Anti-Magical","Physical"))))</f>
        <v/>
      </c>
      <c r="O240">
        <f>IF(F240&lt;&gt;"armor","","TBD")</f>
        <v/>
      </c>
      <c r="P240">
        <f>IF(O240="","",IF(OR(G240="channeling",G240="infusing"),"Magical",IF(G240="blocking","Anti-Physical",IF(G240="warding","Anti-Magical","Physical"))))</f>
        <v/>
      </c>
    </row>
    <row r="241">
      <c r="J241">
        <f>IF(G241="","",IFERROR(IF(G241="infusing",IFERROR(LOOKUP(2,1/ISNUMBER(SEARCH(_lookup!$D$3:$D$4,H241)),_lookup!$E$3:$E$4),"INT"),VLOOKUP(G241,_lookup!$A$3:$B$14,2,FALSE)),""))</f>
        <v/>
      </c>
      <c r="K241">
        <f>IF(F241&lt;&gt;"weapon","",IF(G241="miscellaneous","1-4",IF(I241="","",IFERROR(VLOOKUP(I241&amp;"|"&amp;IF(LEFT(H241,2)="2H",2,1)&amp;"|"&amp;IF(G241="slashing",1,0),_lookup!$G$3:$H$18,2,FALSE),""))))</f>
        <v/>
      </c>
      <c r="L241">
        <f>IF(K241="","",IF(OR(G241="channeling",G241="infusing"),"Magical",IF(G241="blocking","Anti-Physical",IF(G241="warding","Anti-Magical","Physical"))))</f>
        <v/>
      </c>
      <c r="O241">
        <f>IF(F241&lt;&gt;"armor","","TBD")</f>
        <v/>
      </c>
      <c r="P241">
        <f>IF(O241="","",IF(OR(G241="channeling",G241="infusing"),"Magical",IF(G241="blocking","Anti-Physical",IF(G241="warding","Anti-Magical","Physical"))))</f>
        <v/>
      </c>
    </row>
    <row r="242">
      <c r="J242">
        <f>IF(G242="","",IFERROR(IF(G242="infusing",IFERROR(LOOKUP(2,1/ISNUMBER(SEARCH(_lookup!$D$3:$D$4,H242)),_lookup!$E$3:$E$4),"INT"),VLOOKUP(G242,_lookup!$A$3:$B$14,2,FALSE)),""))</f>
        <v/>
      </c>
      <c r="K242">
        <f>IF(F242&lt;&gt;"weapon","",IF(G242="miscellaneous","1-4",IF(I242="","",IFERROR(VLOOKUP(I242&amp;"|"&amp;IF(LEFT(H242,2)="2H",2,1)&amp;"|"&amp;IF(G242="slashing",1,0),_lookup!$G$3:$H$18,2,FALSE),""))))</f>
        <v/>
      </c>
      <c r="L242">
        <f>IF(K242="","",IF(OR(G242="channeling",G242="infusing"),"Magical",IF(G242="blocking","Anti-Physical",IF(G242="warding","Anti-Magical","Physical"))))</f>
        <v/>
      </c>
      <c r="O242">
        <f>IF(F242&lt;&gt;"armor","","TBD")</f>
        <v/>
      </c>
      <c r="P242">
        <f>IF(O242="","",IF(OR(G242="channeling",G242="infusing"),"Magical",IF(G242="blocking","Anti-Physical",IF(G242="warding","Anti-Magical","Physical"))))</f>
        <v/>
      </c>
    </row>
    <row r="243">
      <c r="J243">
        <f>IF(G243="","",IFERROR(IF(G243="infusing",IFERROR(LOOKUP(2,1/ISNUMBER(SEARCH(_lookup!$D$3:$D$4,H243)),_lookup!$E$3:$E$4),"INT"),VLOOKUP(G243,_lookup!$A$3:$B$14,2,FALSE)),""))</f>
        <v/>
      </c>
      <c r="K243">
        <f>IF(F243&lt;&gt;"weapon","",IF(G243="miscellaneous","1-4",IF(I243="","",IFERROR(VLOOKUP(I243&amp;"|"&amp;IF(LEFT(H243,2)="2H",2,1)&amp;"|"&amp;IF(G243="slashing",1,0),_lookup!$G$3:$H$18,2,FALSE),""))))</f>
        <v/>
      </c>
      <c r="L243">
        <f>IF(K243="","",IF(OR(G243="channeling",G243="infusing"),"Magical",IF(G243="blocking","Anti-Physical",IF(G243="warding","Anti-Magical","Physical"))))</f>
        <v/>
      </c>
      <c r="O243">
        <f>IF(F243&lt;&gt;"armor","","TBD")</f>
        <v/>
      </c>
      <c r="P243">
        <f>IF(O243="","",IF(OR(G243="channeling",G243="infusing"),"Magical",IF(G243="blocking","Anti-Physical",IF(G243="warding","Anti-Magical","Physical"))))</f>
        <v/>
      </c>
    </row>
    <row r="244">
      <c r="J244">
        <f>IF(G244="","",IFERROR(IF(G244="infusing",IFERROR(LOOKUP(2,1/ISNUMBER(SEARCH(_lookup!$D$3:$D$4,H244)),_lookup!$E$3:$E$4),"INT"),VLOOKUP(G244,_lookup!$A$3:$B$14,2,FALSE)),""))</f>
        <v/>
      </c>
      <c r="K244">
        <f>IF(F244&lt;&gt;"weapon","",IF(G244="miscellaneous","1-4",IF(I244="","",IFERROR(VLOOKUP(I244&amp;"|"&amp;IF(LEFT(H244,2)="2H",2,1)&amp;"|"&amp;IF(G244="slashing",1,0),_lookup!$G$3:$H$18,2,FALSE),""))))</f>
        <v/>
      </c>
      <c r="L244">
        <f>IF(K244="","",IF(OR(G244="channeling",G244="infusing"),"Magical",IF(G244="blocking","Anti-Physical",IF(G244="warding","Anti-Magical","Physical"))))</f>
        <v/>
      </c>
      <c r="O244">
        <f>IF(F244&lt;&gt;"armor","","TBD")</f>
        <v/>
      </c>
      <c r="P244">
        <f>IF(O244="","",IF(OR(G244="channeling",G244="infusing"),"Magical",IF(G244="blocking","Anti-Physical",IF(G244="warding","Anti-Magical","Physical"))))</f>
        <v/>
      </c>
    </row>
    <row r="245">
      <c r="J245">
        <f>IF(G245="","",IFERROR(IF(G245="infusing",IFERROR(LOOKUP(2,1/ISNUMBER(SEARCH(_lookup!$D$3:$D$4,H245)),_lookup!$E$3:$E$4),"INT"),VLOOKUP(G245,_lookup!$A$3:$B$14,2,FALSE)),""))</f>
        <v/>
      </c>
      <c r="K245">
        <f>IF(F245&lt;&gt;"weapon","",IF(G245="miscellaneous","1-4",IF(I245="","",IFERROR(VLOOKUP(I245&amp;"|"&amp;IF(LEFT(H245,2)="2H",2,1)&amp;"|"&amp;IF(G245="slashing",1,0),_lookup!$G$3:$H$18,2,FALSE),""))))</f>
        <v/>
      </c>
      <c r="L245">
        <f>IF(K245="","",IF(OR(G245="channeling",G245="infusing"),"Magical",IF(G245="blocking","Anti-Physical",IF(G245="warding","Anti-Magical","Physical"))))</f>
        <v/>
      </c>
      <c r="O245">
        <f>IF(F245&lt;&gt;"armor","","TBD")</f>
        <v/>
      </c>
      <c r="P245">
        <f>IF(O245="","",IF(OR(G245="channeling",G245="infusing"),"Magical",IF(G245="blocking","Anti-Physical",IF(G245="warding","Anti-Magical","Physical"))))</f>
        <v/>
      </c>
    </row>
    <row r="246">
      <c r="J246">
        <f>IF(G246="","",IFERROR(IF(G246="infusing",IFERROR(LOOKUP(2,1/ISNUMBER(SEARCH(_lookup!$D$3:$D$4,H246)),_lookup!$E$3:$E$4),"INT"),VLOOKUP(G246,_lookup!$A$3:$B$14,2,FALSE)),""))</f>
        <v/>
      </c>
      <c r="K246">
        <f>IF(F246&lt;&gt;"weapon","",IF(G246="miscellaneous","1-4",IF(I246="","",IFERROR(VLOOKUP(I246&amp;"|"&amp;IF(LEFT(H246,2)="2H",2,1)&amp;"|"&amp;IF(G246="slashing",1,0),_lookup!$G$3:$H$18,2,FALSE),""))))</f>
        <v/>
      </c>
      <c r="L246">
        <f>IF(K246="","",IF(OR(G246="channeling",G246="infusing"),"Magical",IF(G246="blocking","Anti-Physical",IF(G246="warding","Anti-Magical","Physical"))))</f>
        <v/>
      </c>
      <c r="O246">
        <f>IF(F246&lt;&gt;"armor","","TBD")</f>
        <v/>
      </c>
      <c r="P246">
        <f>IF(O246="","",IF(OR(G246="channeling",G246="infusing"),"Magical",IF(G246="blocking","Anti-Physical",IF(G246="warding","Anti-Magical","Physical"))))</f>
        <v/>
      </c>
    </row>
    <row r="247">
      <c r="J247">
        <f>IF(G247="","",IFERROR(IF(G247="infusing",IFERROR(LOOKUP(2,1/ISNUMBER(SEARCH(_lookup!$D$3:$D$4,H247)),_lookup!$E$3:$E$4),"INT"),VLOOKUP(G247,_lookup!$A$3:$B$14,2,FALSE)),""))</f>
        <v/>
      </c>
      <c r="K247">
        <f>IF(F247&lt;&gt;"weapon","",IF(G247="miscellaneous","1-4",IF(I247="","",IFERROR(VLOOKUP(I247&amp;"|"&amp;IF(LEFT(H247,2)="2H",2,1)&amp;"|"&amp;IF(G247="slashing",1,0),_lookup!$G$3:$H$18,2,FALSE),""))))</f>
        <v/>
      </c>
      <c r="L247">
        <f>IF(K247="","",IF(OR(G247="channeling",G247="infusing"),"Magical",IF(G247="blocking","Anti-Physical",IF(G247="warding","Anti-Magical","Physical"))))</f>
        <v/>
      </c>
      <c r="O247">
        <f>IF(F247&lt;&gt;"armor","","TBD")</f>
        <v/>
      </c>
      <c r="P247">
        <f>IF(O247="","",IF(OR(G247="channeling",G247="infusing"),"Magical",IF(G247="blocking","Anti-Physical",IF(G247="warding","Anti-Magical","Physical"))))</f>
        <v/>
      </c>
    </row>
    <row r="248">
      <c r="J248">
        <f>IF(G248="","",IFERROR(IF(G248="infusing",IFERROR(LOOKUP(2,1/ISNUMBER(SEARCH(_lookup!$D$3:$D$4,H248)),_lookup!$E$3:$E$4),"INT"),VLOOKUP(G248,_lookup!$A$3:$B$14,2,FALSE)),""))</f>
        <v/>
      </c>
      <c r="K248">
        <f>IF(F248&lt;&gt;"weapon","",IF(G248="miscellaneous","1-4",IF(I248="","",IFERROR(VLOOKUP(I248&amp;"|"&amp;IF(LEFT(H248,2)="2H",2,1)&amp;"|"&amp;IF(G248="slashing",1,0),_lookup!$G$3:$H$18,2,FALSE),""))))</f>
        <v/>
      </c>
      <c r="L248">
        <f>IF(K248="","",IF(OR(G248="channeling",G248="infusing"),"Magical",IF(G248="blocking","Anti-Physical",IF(G248="warding","Anti-Magical","Physical"))))</f>
        <v/>
      </c>
      <c r="O248">
        <f>IF(F248&lt;&gt;"armor","","TBD")</f>
        <v/>
      </c>
      <c r="P248">
        <f>IF(O248="","",IF(OR(G248="channeling",G248="infusing"),"Magical",IF(G248="blocking","Anti-Physical",IF(G248="warding","Anti-Magical","Physical"))))</f>
        <v/>
      </c>
    </row>
    <row r="249">
      <c r="J249">
        <f>IF(G249="","",IFERROR(IF(G249="infusing",IFERROR(LOOKUP(2,1/ISNUMBER(SEARCH(_lookup!$D$3:$D$4,H249)),_lookup!$E$3:$E$4),"INT"),VLOOKUP(G249,_lookup!$A$3:$B$14,2,FALSE)),""))</f>
        <v/>
      </c>
      <c r="K249">
        <f>IF(F249&lt;&gt;"weapon","",IF(G249="miscellaneous","1-4",IF(I249="","",IFERROR(VLOOKUP(I249&amp;"|"&amp;IF(LEFT(H249,2)="2H",2,1)&amp;"|"&amp;IF(G249="slashing",1,0),_lookup!$G$3:$H$18,2,FALSE),""))))</f>
        <v/>
      </c>
      <c r="L249">
        <f>IF(K249="","",IF(OR(G249="channeling",G249="infusing"),"Magical",IF(G249="blocking","Anti-Physical",IF(G249="warding","Anti-Magical","Physical"))))</f>
        <v/>
      </c>
      <c r="O249">
        <f>IF(F249&lt;&gt;"armor","","TBD")</f>
        <v/>
      </c>
      <c r="P249">
        <f>IF(O249="","",IF(OR(G249="channeling",G249="infusing"),"Magical",IF(G249="blocking","Anti-Physical",IF(G249="warding","Anti-Magical","Physical"))))</f>
        <v/>
      </c>
    </row>
    <row r="250">
      <c r="J250">
        <f>IF(G250="","",IFERROR(IF(G250="infusing",IFERROR(LOOKUP(2,1/ISNUMBER(SEARCH(_lookup!$D$3:$D$4,H250)),_lookup!$E$3:$E$4),"INT"),VLOOKUP(G250,_lookup!$A$3:$B$14,2,FALSE)),""))</f>
        <v/>
      </c>
      <c r="K250">
        <f>IF(F250&lt;&gt;"weapon","",IF(G250="miscellaneous","1-4",IF(I250="","",IFERROR(VLOOKUP(I250&amp;"|"&amp;IF(LEFT(H250,2)="2H",2,1)&amp;"|"&amp;IF(G250="slashing",1,0),_lookup!$G$3:$H$18,2,FALSE),""))))</f>
        <v/>
      </c>
      <c r="L250">
        <f>IF(K250="","",IF(OR(G250="channeling",G250="infusing"),"Magical",IF(G250="blocking","Anti-Physical",IF(G250="warding","Anti-Magical","Physical"))))</f>
        <v/>
      </c>
      <c r="O250">
        <f>IF(F250&lt;&gt;"armor","","TBD")</f>
        <v/>
      </c>
      <c r="P250">
        <f>IF(O250="","",IF(OR(G250="channeling",G250="infusing"),"Magical",IF(G250="blocking","Anti-Physical",IF(G250="warding","Anti-Magical","Physical"))))</f>
        <v/>
      </c>
    </row>
    <row r="251">
      <c r="J251">
        <f>IF(G251="","",IFERROR(IF(G251="infusing",IFERROR(LOOKUP(2,1/ISNUMBER(SEARCH(_lookup!$D$3:$D$4,H251)),_lookup!$E$3:$E$4),"INT"),VLOOKUP(G251,_lookup!$A$3:$B$14,2,FALSE)),""))</f>
        <v/>
      </c>
      <c r="K251">
        <f>IF(F251&lt;&gt;"weapon","",IF(G251="miscellaneous","1-4",IF(I251="","",IFERROR(VLOOKUP(I251&amp;"|"&amp;IF(LEFT(H251,2)="2H",2,1)&amp;"|"&amp;IF(G251="slashing",1,0),_lookup!$G$3:$H$18,2,FALSE),""))))</f>
        <v/>
      </c>
      <c r="L251">
        <f>IF(K251="","",IF(OR(G251="channeling",G251="infusing"),"Magical",IF(G251="blocking","Anti-Physical",IF(G251="warding","Anti-Magical","Physical"))))</f>
        <v/>
      </c>
      <c r="O251">
        <f>IF(F251&lt;&gt;"armor","","TBD")</f>
        <v/>
      </c>
      <c r="P251">
        <f>IF(O251="","",IF(OR(G251="channeling",G251="infusing"),"Magical",IF(G251="blocking","Anti-Physical",IF(G251="warding","Anti-Magical","Physical"))))</f>
        <v/>
      </c>
    </row>
    <row r="252">
      <c r="J252">
        <f>IF(G252="","",IFERROR(IF(G252="infusing",IFERROR(LOOKUP(2,1/ISNUMBER(SEARCH(_lookup!$D$3:$D$4,H252)),_lookup!$E$3:$E$4),"INT"),VLOOKUP(G252,_lookup!$A$3:$B$14,2,FALSE)),""))</f>
        <v/>
      </c>
      <c r="K252">
        <f>IF(F252&lt;&gt;"weapon","",IF(G252="miscellaneous","1-4",IF(I252="","",IFERROR(VLOOKUP(I252&amp;"|"&amp;IF(LEFT(H252,2)="2H",2,1)&amp;"|"&amp;IF(G252="slashing",1,0),_lookup!$G$3:$H$18,2,FALSE),""))))</f>
        <v/>
      </c>
      <c r="L252">
        <f>IF(K252="","",IF(OR(G252="channeling",G252="infusing"),"Magical",IF(G252="blocking","Anti-Physical",IF(G252="warding","Anti-Magical","Physical"))))</f>
        <v/>
      </c>
      <c r="O252">
        <f>IF(F252&lt;&gt;"armor","","TBD")</f>
        <v/>
      </c>
      <c r="P252">
        <f>IF(O252="","",IF(OR(G252="channeling",G252="infusing"),"Magical",IF(G252="blocking","Anti-Physical",IF(G252="warding","Anti-Magical","Physical"))))</f>
        <v/>
      </c>
    </row>
    <row r="253">
      <c r="J253">
        <f>IF(G253="","",IFERROR(IF(G253="infusing",IFERROR(LOOKUP(2,1/ISNUMBER(SEARCH(_lookup!$D$3:$D$4,H253)),_lookup!$E$3:$E$4),"INT"),VLOOKUP(G253,_lookup!$A$3:$B$14,2,FALSE)),""))</f>
        <v/>
      </c>
      <c r="K253">
        <f>IF(F253&lt;&gt;"weapon","",IF(G253="miscellaneous","1-4",IF(I253="","",IFERROR(VLOOKUP(I253&amp;"|"&amp;IF(LEFT(H253,2)="2H",2,1)&amp;"|"&amp;IF(G253="slashing",1,0),_lookup!$G$3:$H$18,2,FALSE),""))))</f>
        <v/>
      </c>
      <c r="L253">
        <f>IF(K253="","",IF(OR(G253="channeling",G253="infusing"),"Magical",IF(G253="blocking","Anti-Physical",IF(G253="warding","Anti-Magical","Physical"))))</f>
        <v/>
      </c>
      <c r="O253">
        <f>IF(F253&lt;&gt;"armor","","TBD")</f>
        <v/>
      </c>
      <c r="P253">
        <f>IF(O253="","",IF(OR(G253="channeling",G253="infusing"),"Magical",IF(G253="blocking","Anti-Physical",IF(G253="warding","Anti-Magical","Physical"))))</f>
        <v/>
      </c>
    </row>
    <row r="254">
      <c r="J254">
        <f>IF(G254="","",IFERROR(IF(G254="infusing",IFERROR(LOOKUP(2,1/ISNUMBER(SEARCH(_lookup!$D$3:$D$4,H254)),_lookup!$E$3:$E$4),"INT"),VLOOKUP(G254,_lookup!$A$3:$B$14,2,FALSE)),""))</f>
        <v/>
      </c>
      <c r="K254">
        <f>IF(F254&lt;&gt;"weapon","",IF(G254="miscellaneous","1-4",IF(I254="","",IFERROR(VLOOKUP(I254&amp;"|"&amp;IF(LEFT(H254,2)="2H",2,1)&amp;"|"&amp;IF(G254="slashing",1,0),_lookup!$G$3:$H$18,2,FALSE),""))))</f>
        <v/>
      </c>
      <c r="L254">
        <f>IF(K254="","",IF(OR(G254="channeling",G254="infusing"),"Magical",IF(G254="blocking","Anti-Physical",IF(G254="warding","Anti-Magical","Physical"))))</f>
        <v/>
      </c>
      <c r="O254">
        <f>IF(F254&lt;&gt;"armor","","TBD")</f>
        <v/>
      </c>
      <c r="P254">
        <f>IF(O254="","",IF(OR(G254="channeling",G254="infusing"),"Magical",IF(G254="blocking","Anti-Physical",IF(G254="warding","Anti-Magical","Physical"))))</f>
        <v/>
      </c>
    </row>
    <row r="255">
      <c r="J255">
        <f>IF(G255="","",IFERROR(IF(G255="infusing",IFERROR(LOOKUP(2,1/ISNUMBER(SEARCH(_lookup!$D$3:$D$4,H255)),_lookup!$E$3:$E$4),"INT"),VLOOKUP(G255,_lookup!$A$3:$B$14,2,FALSE)),""))</f>
        <v/>
      </c>
      <c r="K255">
        <f>IF(F255&lt;&gt;"weapon","",IF(G255="miscellaneous","1-4",IF(I255="","",IFERROR(VLOOKUP(I255&amp;"|"&amp;IF(LEFT(H255,2)="2H",2,1)&amp;"|"&amp;IF(G255="slashing",1,0),_lookup!$G$3:$H$18,2,FALSE),""))))</f>
        <v/>
      </c>
      <c r="L255">
        <f>IF(K255="","",IF(OR(G255="channeling",G255="infusing"),"Magical",IF(G255="blocking","Anti-Physical",IF(G255="warding","Anti-Magical","Physical"))))</f>
        <v/>
      </c>
      <c r="O255">
        <f>IF(F255&lt;&gt;"armor","","TBD")</f>
        <v/>
      </c>
      <c r="P255">
        <f>IF(O255="","",IF(OR(G255="channeling",G255="infusing"),"Magical",IF(G255="blocking","Anti-Physical",IF(G255="warding","Anti-Magical","Physical"))))</f>
        <v/>
      </c>
    </row>
    <row r="256">
      <c r="J256">
        <f>IF(G256="","",IFERROR(IF(G256="infusing",IFERROR(LOOKUP(2,1/ISNUMBER(SEARCH(_lookup!$D$3:$D$4,H256)),_lookup!$E$3:$E$4),"INT"),VLOOKUP(G256,_lookup!$A$3:$B$14,2,FALSE)),""))</f>
        <v/>
      </c>
      <c r="K256">
        <f>IF(F256&lt;&gt;"weapon","",IF(G256="miscellaneous","1-4",IF(I256="","",IFERROR(VLOOKUP(I256&amp;"|"&amp;IF(LEFT(H256,2)="2H",2,1)&amp;"|"&amp;IF(G256="slashing",1,0),_lookup!$G$3:$H$18,2,FALSE),""))))</f>
        <v/>
      </c>
      <c r="L256">
        <f>IF(K256="","",IF(OR(G256="channeling",G256="infusing"),"Magical",IF(G256="blocking","Anti-Physical",IF(G256="warding","Anti-Magical","Physical"))))</f>
        <v/>
      </c>
      <c r="O256">
        <f>IF(F256&lt;&gt;"armor","","TBD")</f>
        <v/>
      </c>
      <c r="P256">
        <f>IF(O256="","",IF(OR(G256="channeling",G256="infusing"),"Magical",IF(G256="blocking","Anti-Physical",IF(G256="warding","Anti-Magical","Physical"))))</f>
        <v/>
      </c>
    </row>
    <row r="257">
      <c r="J257">
        <f>IF(G257="","",IFERROR(IF(G257="infusing",IFERROR(LOOKUP(2,1/ISNUMBER(SEARCH(_lookup!$D$3:$D$4,H257)),_lookup!$E$3:$E$4),"INT"),VLOOKUP(G257,_lookup!$A$3:$B$14,2,FALSE)),""))</f>
        <v/>
      </c>
      <c r="K257">
        <f>IF(F257&lt;&gt;"weapon","",IF(G257="miscellaneous","1-4",IF(I257="","",IFERROR(VLOOKUP(I257&amp;"|"&amp;IF(LEFT(H257,2)="2H",2,1)&amp;"|"&amp;IF(G257="slashing",1,0),_lookup!$G$3:$H$18,2,FALSE),""))))</f>
        <v/>
      </c>
      <c r="L257">
        <f>IF(K257="","",IF(OR(G257="channeling",G257="infusing"),"Magical",IF(G257="blocking","Anti-Physical",IF(G257="warding","Anti-Magical","Physical"))))</f>
        <v/>
      </c>
      <c r="O257">
        <f>IF(F257&lt;&gt;"armor","","TBD")</f>
        <v/>
      </c>
      <c r="P257">
        <f>IF(O257="","",IF(OR(G257="channeling",G257="infusing"),"Magical",IF(G257="blocking","Anti-Physical",IF(G257="warding","Anti-Magical","Physical"))))</f>
        <v/>
      </c>
    </row>
    <row r="258">
      <c r="J258">
        <f>IF(G258="","",IFERROR(IF(G258="infusing",IFERROR(LOOKUP(2,1/ISNUMBER(SEARCH(_lookup!$D$3:$D$4,H258)),_lookup!$E$3:$E$4),"INT"),VLOOKUP(G258,_lookup!$A$3:$B$14,2,FALSE)),""))</f>
        <v/>
      </c>
      <c r="K258">
        <f>IF(F258&lt;&gt;"weapon","",IF(G258="miscellaneous","1-4",IF(I258="","",IFERROR(VLOOKUP(I258&amp;"|"&amp;IF(LEFT(H258,2)="2H",2,1)&amp;"|"&amp;IF(G258="slashing",1,0),_lookup!$G$3:$H$18,2,FALSE),""))))</f>
        <v/>
      </c>
      <c r="L258">
        <f>IF(K258="","",IF(OR(G258="channeling",G258="infusing"),"Magical",IF(G258="blocking","Anti-Physical",IF(G258="warding","Anti-Magical","Physical"))))</f>
        <v/>
      </c>
      <c r="O258">
        <f>IF(F258&lt;&gt;"armor","","TBD")</f>
        <v/>
      </c>
      <c r="P258">
        <f>IF(O258="","",IF(OR(G258="channeling",G258="infusing"),"Magical",IF(G258="blocking","Anti-Physical",IF(G258="warding","Anti-Magical","Physical"))))</f>
        <v/>
      </c>
    </row>
    <row r="259">
      <c r="J259">
        <f>IF(G259="","",IFERROR(IF(G259="infusing",IFERROR(LOOKUP(2,1/ISNUMBER(SEARCH(_lookup!$D$3:$D$4,H259)),_lookup!$E$3:$E$4),"INT"),VLOOKUP(G259,_lookup!$A$3:$B$14,2,FALSE)),""))</f>
        <v/>
      </c>
      <c r="K259">
        <f>IF(F259&lt;&gt;"weapon","",IF(G259="miscellaneous","1-4",IF(I259="","",IFERROR(VLOOKUP(I259&amp;"|"&amp;IF(LEFT(H259,2)="2H",2,1)&amp;"|"&amp;IF(G259="slashing",1,0),_lookup!$G$3:$H$18,2,FALSE),""))))</f>
        <v/>
      </c>
      <c r="L259">
        <f>IF(K259="","",IF(OR(G259="channeling",G259="infusing"),"Magical",IF(G259="blocking","Anti-Physical",IF(G259="warding","Anti-Magical","Physical"))))</f>
        <v/>
      </c>
      <c r="O259">
        <f>IF(F259&lt;&gt;"armor","","TBD")</f>
        <v/>
      </c>
      <c r="P259">
        <f>IF(O259="","",IF(OR(G259="channeling",G259="infusing"),"Magical",IF(G259="blocking","Anti-Physical",IF(G259="warding","Anti-Magical","Physical"))))</f>
        <v/>
      </c>
    </row>
    <row r="260">
      <c r="J260">
        <f>IF(G260="","",IFERROR(IF(G260="infusing",IFERROR(LOOKUP(2,1/ISNUMBER(SEARCH(_lookup!$D$3:$D$4,H260)),_lookup!$E$3:$E$4),"INT"),VLOOKUP(G260,_lookup!$A$3:$B$14,2,FALSE)),""))</f>
        <v/>
      </c>
      <c r="K260">
        <f>IF(F260&lt;&gt;"weapon","",IF(G260="miscellaneous","1-4",IF(I260="","",IFERROR(VLOOKUP(I260&amp;"|"&amp;IF(LEFT(H260,2)="2H",2,1)&amp;"|"&amp;IF(G260="slashing",1,0),_lookup!$G$3:$H$18,2,FALSE),""))))</f>
        <v/>
      </c>
      <c r="L260">
        <f>IF(K260="","",IF(OR(G260="channeling",G260="infusing"),"Magical",IF(G260="blocking","Anti-Physical",IF(G260="warding","Anti-Magical","Physical"))))</f>
        <v/>
      </c>
      <c r="O260">
        <f>IF(F260&lt;&gt;"armor","","TBD")</f>
        <v/>
      </c>
      <c r="P260">
        <f>IF(O260="","",IF(OR(G260="channeling",G260="infusing"),"Magical",IF(G260="blocking","Anti-Physical",IF(G260="warding","Anti-Magical","Physical"))))</f>
        <v/>
      </c>
    </row>
    <row r="261">
      <c r="J261">
        <f>IF(G261="","",IFERROR(IF(G261="infusing",IFERROR(LOOKUP(2,1/ISNUMBER(SEARCH(_lookup!$D$3:$D$4,H261)),_lookup!$E$3:$E$4),"INT"),VLOOKUP(G261,_lookup!$A$3:$B$14,2,FALSE)),""))</f>
        <v/>
      </c>
      <c r="K261">
        <f>IF(F261&lt;&gt;"weapon","",IF(G261="miscellaneous","1-4",IF(I261="","",IFERROR(VLOOKUP(I261&amp;"|"&amp;IF(LEFT(H261,2)="2H",2,1)&amp;"|"&amp;IF(G261="slashing",1,0),_lookup!$G$3:$H$18,2,FALSE),""))))</f>
        <v/>
      </c>
      <c r="L261">
        <f>IF(K261="","",IF(OR(G261="channeling",G261="infusing"),"Magical",IF(G261="blocking","Anti-Physical",IF(G261="warding","Anti-Magical","Physical"))))</f>
        <v/>
      </c>
      <c r="O261">
        <f>IF(F261&lt;&gt;"armor","","TBD")</f>
        <v/>
      </c>
      <c r="P261">
        <f>IF(O261="","",IF(OR(G261="channeling",G261="infusing"),"Magical",IF(G261="blocking","Anti-Physical",IF(G261="warding","Anti-Magical","Physical"))))</f>
        <v/>
      </c>
    </row>
    <row r="262">
      <c r="J262">
        <f>IF(G262="","",IFERROR(IF(G262="infusing",IFERROR(LOOKUP(2,1/ISNUMBER(SEARCH(_lookup!$D$3:$D$4,H262)),_lookup!$E$3:$E$4),"INT"),VLOOKUP(G262,_lookup!$A$3:$B$14,2,FALSE)),""))</f>
        <v/>
      </c>
      <c r="K262">
        <f>IF(F262&lt;&gt;"weapon","",IF(G262="miscellaneous","1-4",IF(I262="","",IFERROR(VLOOKUP(I262&amp;"|"&amp;IF(LEFT(H262,2)="2H",2,1)&amp;"|"&amp;IF(G262="slashing",1,0),_lookup!$G$3:$H$18,2,FALSE),""))))</f>
        <v/>
      </c>
      <c r="L262">
        <f>IF(K262="","",IF(OR(G262="channeling",G262="infusing"),"Magical",IF(G262="blocking","Anti-Physical",IF(G262="warding","Anti-Magical","Physical"))))</f>
        <v/>
      </c>
      <c r="O262">
        <f>IF(F262&lt;&gt;"armor","","TBD")</f>
        <v/>
      </c>
      <c r="P262">
        <f>IF(O262="","",IF(OR(G262="channeling",G262="infusing"),"Magical",IF(G262="blocking","Anti-Physical",IF(G262="warding","Anti-Magical","Physical"))))</f>
        <v/>
      </c>
    </row>
    <row r="263">
      <c r="J263">
        <f>IF(G263="","",IFERROR(IF(G263="infusing",IFERROR(LOOKUP(2,1/ISNUMBER(SEARCH(_lookup!$D$3:$D$4,H263)),_lookup!$E$3:$E$4),"INT"),VLOOKUP(G263,_lookup!$A$3:$B$14,2,FALSE)),""))</f>
        <v/>
      </c>
      <c r="K263">
        <f>IF(F263&lt;&gt;"weapon","",IF(G263="miscellaneous","1-4",IF(I263="","",IFERROR(VLOOKUP(I263&amp;"|"&amp;IF(LEFT(H263,2)="2H",2,1)&amp;"|"&amp;IF(G263="slashing",1,0),_lookup!$G$3:$H$18,2,FALSE),""))))</f>
        <v/>
      </c>
      <c r="L263">
        <f>IF(K263="","",IF(OR(G263="channeling",G263="infusing"),"Magical",IF(G263="blocking","Anti-Physical",IF(G263="warding","Anti-Magical","Physical"))))</f>
        <v/>
      </c>
      <c r="O263">
        <f>IF(F263&lt;&gt;"armor","","TBD")</f>
        <v/>
      </c>
      <c r="P263">
        <f>IF(O263="","",IF(OR(G263="channeling",G263="infusing"),"Magical",IF(G263="blocking","Anti-Physical",IF(G263="warding","Anti-Magical","Physical"))))</f>
        <v/>
      </c>
    </row>
    <row r="264">
      <c r="J264">
        <f>IF(G264="","",IFERROR(IF(G264="infusing",IFERROR(LOOKUP(2,1/ISNUMBER(SEARCH(_lookup!$D$3:$D$4,H264)),_lookup!$E$3:$E$4),"INT"),VLOOKUP(G264,_lookup!$A$3:$B$14,2,FALSE)),""))</f>
        <v/>
      </c>
      <c r="K264">
        <f>IF(F264&lt;&gt;"weapon","",IF(G264="miscellaneous","1-4",IF(I264="","",IFERROR(VLOOKUP(I264&amp;"|"&amp;IF(LEFT(H264,2)="2H",2,1)&amp;"|"&amp;IF(G264="slashing",1,0),_lookup!$G$3:$H$18,2,FALSE),""))))</f>
        <v/>
      </c>
      <c r="L264">
        <f>IF(K264="","",IF(OR(G264="channeling",G264="infusing"),"Magical",IF(G264="blocking","Anti-Physical",IF(G264="warding","Anti-Magical","Physical"))))</f>
        <v/>
      </c>
      <c r="O264">
        <f>IF(F264&lt;&gt;"armor","","TBD")</f>
        <v/>
      </c>
      <c r="P264">
        <f>IF(O264="","",IF(OR(G264="channeling",G264="infusing"),"Magical",IF(G264="blocking","Anti-Physical",IF(G264="warding","Anti-Magical","Physical"))))</f>
        <v/>
      </c>
    </row>
    <row r="265">
      <c r="J265">
        <f>IF(G265="","",IFERROR(IF(G265="infusing",IFERROR(LOOKUP(2,1/ISNUMBER(SEARCH(_lookup!$D$3:$D$4,H265)),_lookup!$E$3:$E$4),"INT"),VLOOKUP(G265,_lookup!$A$3:$B$14,2,FALSE)),""))</f>
        <v/>
      </c>
      <c r="K265">
        <f>IF(F265&lt;&gt;"weapon","",IF(G265="miscellaneous","1-4",IF(I265="","",IFERROR(VLOOKUP(I265&amp;"|"&amp;IF(LEFT(H265,2)="2H",2,1)&amp;"|"&amp;IF(G265="slashing",1,0),_lookup!$G$3:$H$18,2,FALSE),""))))</f>
        <v/>
      </c>
      <c r="L265">
        <f>IF(K265="","",IF(OR(G265="channeling",G265="infusing"),"Magical",IF(G265="blocking","Anti-Physical",IF(G265="warding","Anti-Magical","Physical"))))</f>
        <v/>
      </c>
      <c r="O265">
        <f>IF(F265&lt;&gt;"armor","","TBD")</f>
        <v/>
      </c>
      <c r="P265">
        <f>IF(O265="","",IF(OR(G265="channeling",G265="infusing"),"Magical",IF(G265="blocking","Anti-Physical",IF(G265="warding","Anti-Magical","Physical"))))</f>
        <v/>
      </c>
    </row>
    <row r="266">
      <c r="J266">
        <f>IF(G266="","",IFERROR(IF(G266="infusing",IFERROR(LOOKUP(2,1/ISNUMBER(SEARCH(_lookup!$D$3:$D$4,H266)),_lookup!$E$3:$E$4),"INT"),VLOOKUP(G266,_lookup!$A$3:$B$14,2,FALSE)),""))</f>
        <v/>
      </c>
      <c r="K266">
        <f>IF(F266&lt;&gt;"weapon","",IF(G266="miscellaneous","1-4",IF(I266="","",IFERROR(VLOOKUP(I266&amp;"|"&amp;IF(LEFT(H266,2)="2H",2,1)&amp;"|"&amp;IF(G266="slashing",1,0),_lookup!$G$3:$H$18,2,FALSE),""))))</f>
        <v/>
      </c>
      <c r="L266">
        <f>IF(K266="","",IF(OR(G266="channeling",G266="infusing"),"Magical",IF(G266="blocking","Anti-Physical",IF(G266="warding","Anti-Magical","Physical"))))</f>
        <v/>
      </c>
      <c r="O266">
        <f>IF(F266&lt;&gt;"armor","","TBD")</f>
        <v/>
      </c>
      <c r="P266">
        <f>IF(O266="","",IF(OR(G266="channeling",G266="infusing"),"Magical",IF(G266="blocking","Anti-Physical",IF(G266="warding","Anti-Magical","Physical"))))</f>
        <v/>
      </c>
    </row>
    <row r="267">
      <c r="J267">
        <f>IF(G267="","",IFERROR(IF(G267="infusing",IFERROR(LOOKUP(2,1/ISNUMBER(SEARCH(_lookup!$D$3:$D$4,H267)),_lookup!$E$3:$E$4),"INT"),VLOOKUP(G267,_lookup!$A$3:$B$14,2,FALSE)),""))</f>
        <v/>
      </c>
      <c r="K267">
        <f>IF(F267&lt;&gt;"weapon","",IF(G267="miscellaneous","1-4",IF(I267="","",IFERROR(VLOOKUP(I267&amp;"|"&amp;IF(LEFT(H267,2)="2H",2,1)&amp;"|"&amp;IF(G267="slashing",1,0),_lookup!$G$3:$H$18,2,FALSE),""))))</f>
        <v/>
      </c>
      <c r="L267">
        <f>IF(K267="","",IF(OR(G267="channeling",G267="infusing"),"Magical",IF(G267="blocking","Anti-Physical",IF(G267="warding","Anti-Magical","Physical"))))</f>
        <v/>
      </c>
      <c r="O267">
        <f>IF(F267&lt;&gt;"armor","","TBD")</f>
        <v/>
      </c>
      <c r="P267">
        <f>IF(O267="","",IF(OR(G267="channeling",G267="infusing"),"Magical",IF(G267="blocking","Anti-Physical",IF(G267="warding","Anti-Magical","Physical"))))</f>
        <v/>
      </c>
    </row>
    <row r="268">
      <c r="J268">
        <f>IF(G268="","",IFERROR(IF(G268="infusing",IFERROR(LOOKUP(2,1/ISNUMBER(SEARCH(_lookup!$D$3:$D$4,H268)),_lookup!$E$3:$E$4),"INT"),VLOOKUP(G268,_lookup!$A$3:$B$14,2,FALSE)),""))</f>
        <v/>
      </c>
      <c r="K268">
        <f>IF(F268&lt;&gt;"weapon","",IF(G268="miscellaneous","1-4",IF(I268="","",IFERROR(VLOOKUP(I268&amp;"|"&amp;IF(LEFT(H268,2)="2H",2,1)&amp;"|"&amp;IF(G268="slashing",1,0),_lookup!$G$3:$H$18,2,FALSE),""))))</f>
        <v/>
      </c>
      <c r="L268">
        <f>IF(K268="","",IF(OR(G268="channeling",G268="infusing"),"Magical",IF(G268="blocking","Anti-Physical",IF(G268="warding","Anti-Magical","Physical"))))</f>
        <v/>
      </c>
      <c r="O268">
        <f>IF(F268&lt;&gt;"armor","","TBD")</f>
        <v/>
      </c>
      <c r="P268">
        <f>IF(O268="","",IF(OR(G268="channeling",G268="infusing"),"Magical",IF(G268="blocking","Anti-Physical",IF(G268="warding","Anti-Magical","Physical"))))</f>
        <v/>
      </c>
    </row>
    <row r="269">
      <c r="J269">
        <f>IF(G269="","",IFERROR(IF(G269="infusing",IFERROR(LOOKUP(2,1/ISNUMBER(SEARCH(_lookup!$D$3:$D$4,H269)),_lookup!$E$3:$E$4),"INT"),VLOOKUP(G269,_lookup!$A$3:$B$14,2,FALSE)),""))</f>
        <v/>
      </c>
      <c r="K269">
        <f>IF(F269&lt;&gt;"weapon","",IF(G269="miscellaneous","1-4",IF(I269="","",IFERROR(VLOOKUP(I269&amp;"|"&amp;IF(LEFT(H269,2)="2H",2,1)&amp;"|"&amp;IF(G269="slashing",1,0),_lookup!$G$3:$H$18,2,FALSE),""))))</f>
        <v/>
      </c>
      <c r="L269">
        <f>IF(K269="","",IF(OR(G269="channeling",G269="infusing"),"Magical",IF(G269="blocking","Anti-Physical",IF(G269="warding","Anti-Magical","Physical"))))</f>
        <v/>
      </c>
      <c r="O269">
        <f>IF(F269&lt;&gt;"armor","","TBD")</f>
        <v/>
      </c>
      <c r="P269">
        <f>IF(O269="","",IF(OR(G269="channeling",G269="infusing"),"Magical",IF(G269="blocking","Anti-Physical",IF(G269="warding","Anti-Magical","Physical"))))</f>
        <v/>
      </c>
    </row>
    <row r="270">
      <c r="J270">
        <f>IF(G270="","",IFERROR(IF(G270="infusing",IFERROR(LOOKUP(2,1/ISNUMBER(SEARCH(_lookup!$D$3:$D$4,H270)),_lookup!$E$3:$E$4),"INT"),VLOOKUP(G270,_lookup!$A$3:$B$14,2,FALSE)),""))</f>
        <v/>
      </c>
      <c r="K270">
        <f>IF(F270&lt;&gt;"weapon","",IF(G270="miscellaneous","1-4",IF(I270="","",IFERROR(VLOOKUP(I270&amp;"|"&amp;IF(LEFT(H270,2)="2H",2,1)&amp;"|"&amp;IF(G270="slashing",1,0),_lookup!$G$3:$H$18,2,FALSE),""))))</f>
        <v/>
      </c>
      <c r="L270">
        <f>IF(K270="","",IF(OR(G270="channeling",G270="infusing"),"Magical",IF(G270="blocking","Anti-Physical",IF(G270="warding","Anti-Magical","Physical"))))</f>
        <v/>
      </c>
      <c r="O270">
        <f>IF(F270&lt;&gt;"armor","","TBD")</f>
        <v/>
      </c>
      <c r="P270">
        <f>IF(O270="","",IF(OR(G270="channeling",G270="infusing"),"Magical",IF(G270="blocking","Anti-Physical",IF(G270="warding","Anti-Magical","Physical"))))</f>
        <v/>
      </c>
    </row>
    <row r="271">
      <c r="J271">
        <f>IF(G271="","",IFERROR(IF(G271="infusing",IFERROR(LOOKUP(2,1/ISNUMBER(SEARCH(_lookup!$D$3:$D$4,H271)),_lookup!$E$3:$E$4),"INT"),VLOOKUP(G271,_lookup!$A$3:$B$14,2,FALSE)),""))</f>
        <v/>
      </c>
      <c r="K271">
        <f>IF(F271&lt;&gt;"weapon","",IF(G271="miscellaneous","1-4",IF(I271="","",IFERROR(VLOOKUP(I271&amp;"|"&amp;IF(LEFT(H271,2)="2H",2,1)&amp;"|"&amp;IF(G271="slashing",1,0),_lookup!$G$3:$H$18,2,FALSE),""))))</f>
        <v/>
      </c>
      <c r="L271">
        <f>IF(K271="","",IF(OR(G271="channeling",G271="infusing"),"Magical",IF(G271="blocking","Anti-Physical",IF(G271="warding","Anti-Magical","Physical"))))</f>
        <v/>
      </c>
      <c r="O271">
        <f>IF(F271&lt;&gt;"armor","","TBD")</f>
        <v/>
      </c>
      <c r="P271">
        <f>IF(O271="","",IF(OR(G271="channeling",G271="infusing"),"Magical",IF(G271="blocking","Anti-Physical",IF(G271="warding","Anti-Magical","Physical"))))</f>
        <v/>
      </c>
    </row>
    <row r="272">
      <c r="J272">
        <f>IF(G272="","",IFERROR(IF(G272="infusing",IFERROR(LOOKUP(2,1/ISNUMBER(SEARCH(_lookup!$D$3:$D$4,H272)),_lookup!$E$3:$E$4),"INT"),VLOOKUP(G272,_lookup!$A$3:$B$14,2,FALSE)),""))</f>
        <v/>
      </c>
      <c r="K272">
        <f>IF(F272&lt;&gt;"weapon","",IF(G272="miscellaneous","1-4",IF(I272="","",IFERROR(VLOOKUP(I272&amp;"|"&amp;IF(LEFT(H272,2)="2H",2,1)&amp;"|"&amp;IF(G272="slashing",1,0),_lookup!$G$3:$H$18,2,FALSE),""))))</f>
        <v/>
      </c>
      <c r="L272">
        <f>IF(K272="","",IF(OR(G272="channeling",G272="infusing"),"Magical",IF(G272="blocking","Anti-Physical",IF(G272="warding","Anti-Magical","Physical"))))</f>
        <v/>
      </c>
      <c r="O272">
        <f>IF(F272&lt;&gt;"armor","","TBD")</f>
        <v/>
      </c>
      <c r="P272">
        <f>IF(O272="","",IF(OR(G272="channeling",G272="infusing"),"Magical",IF(G272="blocking","Anti-Physical",IF(G272="warding","Anti-Magical","Physical"))))</f>
        <v/>
      </c>
    </row>
    <row r="273">
      <c r="J273">
        <f>IF(G273="","",IFERROR(IF(G273="infusing",IFERROR(LOOKUP(2,1/ISNUMBER(SEARCH(_lookup!$D$3:$D$4,H273)),_lookup!$E$3:$E$4),"INT"),VLOOKUP(G273,_lookup!$A$3:$B$14,2,FALSE)),""))</f>
        <v/>
      </c>
      <c r="K273">
        <f>IF(F273&lt;&gt;"weapon","",IF(G273="miscellaneous","1-4",IF(I273="","",IFERROR(VLOOKUP(I273&amp;"|"&amp;IF(LEFT(H273,2)="2H",2,1)&amp;"|"&amp;IF(G273="slashing",1,0),_lookup!$G$3:$H$18,2,FALSE),""))))</f>
        <v/>
      </c>
      <c r="L273">
        <f>IF(K273="","",IF(OR(G273="channeling",G273="infusing"),"Magical",IF(G273="blocking","Anti-Physical",IF(G273="warding","Anti-Magical","Physical"))))</f>
        <v/>
      </c>
      <c r="O273">
        <f>IF(F273&lt;&gt;"armor","","TBD")</f>
        <v/>
      </c>
      <c r="P273">
        <f>IF(O273="","",IF(OR(G273="channeling",G273="infusing"),"Magical",IF(G273="blocking","Anti-Physical",IF(G273="warding","Anti-Magical","Physical"))))</f>
        <v/>
      </c>
    </row>
    <row r="274">
      <c r="J274">
        <f>IF(G274="","",IFERROR(IF(G274="infusing",IFERROR(LOOKUP(2,1/ISNUMBER(SEARCH(_lookup!$D$3:$D$4,H274)),_lookup!$E$3:$E$4),"INT"),VLOOKUP(G274,_lookup!$A$3:$B$14,2,FALSE)),""))</f>
        <v/>
      </c>
      <c r="K274">
        <f>IF(F274&lt;&gt;"weapon","",IF(G274="miscellaneous","1-4",IF(I274="","",IFERROR(VLOOKUP(I274&amp;"|"&amp;IF(LEFT(H274,2)="2H",2,1)&amp;"|"&amp;IF(G274="slashing",1,0),_lookup!$G$3:$H$18,2,FALSE),""))))</f>
        <v/>
      </c>
      <c r="L274">
        <f>IF(K274="","",IF(OR(G274="channeling",G274="infusing"),"Magical",IF(G274="blocking","Anti-Physical",IF(G274="warding","Anti-Magical","Physical"))))</f>
        <v/>
      </c>
      <c r="O274">
        <f>IF(F274&lt;&gt;"armor","","TBD")</f>
        <v/>
      </c>
      <c r="P274">
        <f>IF(O274="","",IF(OR(G274="channeling",G274="infusing"),"Magical",IF(G274="blocking","Anti-Physical",IF(G274="warding","Anti-Magical","Physical"))))</f>
        <v/>
      </c>
    </row>
    <row r="275">
      <c r="J275">
        <f>IF(G275="","",IFERROR(IF(G275="infusing",IFERROR(LOOKUP(2,1/ISNUMBER(SEARCH(_lookup!$D$3:$D$4,H275)),_lookup!$E$3:$E$4),"INT"),VLOOKUP(G275,_lookup!$A$3:$B$14,2,FALSE)),""))</f>
        <v/>
      </c>
      <c r="K275">
        <f>IF(F275&lt;&gt;"weapon","",IF(G275="miscellaneous","1-4",IF(I275="","",IFERROR(VLOOKUP(I275&amp;"|"&amp;IF(LEFT(H275,2)="2H",2,1)&amp;"|"&amp;IF(G275="slashing",1,0),_lookup!$G$3:$H$18,2,FALSE),""))))</f>
        <v/>
      </c>
      <c r="L275">
        <f>IF(K275="","",IF(OR(G275="channeling",G275="infusing"),"Magical",IF(G275="blocking","Anti-Physical",IF(G275="warding","Anti-Magical","Physical"))))</f>
        <v/>
      </c>
      <c r="O275">
        <f>IF(F275&lt;&gt;"armor","","TBD")</f>
        <v/>
      </c>
      <c r="P275">
        <f>IF(O275="","",IF(OR(G275="channeling",G275="infusing"),"Magical",IF(G275="blocking","Anti-Physical",IF(G275="warding","Anti-Magical","Physical"))))</f>
        <v/>
      </c>
    </row>
    <row r="276">
      <c r="J276">
        <f>IF(G276="","",IFERROR(IF(G276="infusing",IFERROR(LOOKUP(2,1/ISNUMBER(SEARCH(_lookup!$D$3:$D$4,H276)),_lookup!$E$3:$E$4),"INT"),VLOOKUP(G276,_lookup!$A$3:$B$14,2,FALSE)),""))</f>
        <v/>
      </c>
      <c r="K276">
        <f>IF(F276&lt;&gt;"weapon","",IF(G276="miscellaneous","1-4",IF(I276="","",IFERROR(VLOOKUP(I276&amp;"|"&amp;IF(LEFT(H276,2)="2H",2,1)&amp;"|"&amp;IF(G276="slashing",1,0),_lookup!$G$3:$H$18,2,FALSE),""))))</f>
        <v/>
      </c>
      <c r="L276">
        <f>IF(K276="","",IF(OR(G276="channeling",G276="infusing"),"Magical",IF(G276="blocking","Anti-Physical",IF(G276="warding","Anti-Magical","Physical"))))</f>
        <v/>
      </c>
      <c r="O276">
        <f>IF(F276&lt;&gt;"armor","","TBD")</f>
        <v/>
      </c>
      <c r="P276">
        <f>IF(O276="","",IF(OR(G276="channeling",G276="infusing"),"Magical",IF(G276="blocking","Anti-Physical",IF(G276="warding","Anti-Magical","Physical"))))</f>
        <v/>
      </c>
    </row>
    <row r="277">
      <c r="J277">
        <f>IF(G277="","",IFERROR(IF(G277="infusing",IFERROR(LOOKUP(2,1/ISNUMBER(SEARCH(_lookup!$D$3:$D$4,H277)),_lookup!$E$3:$E$4),"INT"),VLOOKUP(G277,_lookup!$A$3:$B$14,2,FALSE)),""))</f>
        <v/>
      </c>
      <c r="K277">
        <f>IF(F277&lt;&gt;"weapon","",IF(G277="miscellaneous","1-4",IF(I277="","",IFERROR(VLOOKUP(I277&amp;"|"&amp;IF(LEFT(H277,2)="2H",2,1)&amp;"|"&amp;IF(G277="slashing",1,0),_lookup!$G$3:$H$18,2,FALSE),""))))</f>
        <v/>
      </c>
      <c r="L277">
        <f>IF(K277="","",IF(OR(G277="channeling",G277="infusing"),"Magical",IF(G277="blocking","Anti-Physical",IF(G277="warding","Anti-Magical","Physical"))))</f>
        <v/>
      </c>
      <c r="O277">
        <f>IF(F277&lt;&gt;"armor","","TBD")</f>
        <v/>
      </c>
      <c r="P277">
        <f>IF(O277="","",IF(OR(G277="channeling",G277="infusing"),"Magical",IF(G277="blocking","Anti-Physical",IF(G277="warding","Anti-Magical","Physical"))))</f>
        <v/>
      </c>
    </row>
    <row r="278">
      <c r="J278">
        <f>IF(G278="","",IFERROR(IF(G278="infusing",IFERROR(LOOKUP(2,1/ISNUMBER(SEARCH(_lookup!$D$3:$D$4,H278)),_lookup!$E$3:$E$4),"INT"),VLOOKUP(G278,_lookup!$A$3:$B$14,2,FALSE)),""))</f>
        <v/>
      </c>
      <c r="K278">
        <f>IF(F278&lt;&gt;"weapon","",IF(G278="miscellaneous","1-4",IF(I278="","",IFERROR(VLOOKUP(I278&amp;"|"&amp;IF(LEFT(H278,2)="2H",2,1)&amp;"|"&amp;IF(G278="slashing",1,0),_lookup!$G$3:$H$18,2,FALSE),""))))</f>
        <v/>
      </c>
      <c r="L278">
        <f>IF(K278="","",IF(OR(G278="channeling",G278="infusing"),"Magical",IF(G278="blocking","Anti-Physical",IF(G278="warding","Anti-Magical","Physical"))))</f>
        <v/>
      </c>
      <c r="O278">
        <f>IF(F278&lt;&gt;"armor","","TBD")</f>
        <v/>
      </c>
      <c r="P278">
        <f>IF(O278="","",IF(OR(G278="channeling",G278="infusing"),"Magical",IF(G278="blocking","Anti-Physical",IF(G278="warding","Anti-Magical","Physical"))))</f>
        <v/>
      </c>
    </row>
    <row r="279">
      <c r="J279">
        <f>IF(G279="","",IFERROR(IF(G279="infusing",IFERROR(LOOKUP(2,1/ISNUMBER(SEARCH(_lookup!$D$3:$D$4,H279)),_lookup!$E$3:$E$4),"INT"),VLOOKUP(G279,_lookup!$A$3:$B$14,2,FALSE)),""))</f>
        <v/>
      </c>
      <c r="K279">
        <f>IF(F279&lt;&gt;"weapon","",IF(G279="miscellaneous","1-4",IF(I279="","",IFERROR(VLOOKUP(I279&amp;"|"&amp;IF(LEFT(H279,2)="2H",2,1)&amp;"|"&amp;IF(G279="slashing",1,0),_lookup!$G$3:$H$18,2,FALSE),""))))</f>
        <v/>
      </c>
      <c r="L279">
        <f>IF(K279="","",IF(OR(G279="channeling",G279="infusing"),"Magical",IF(G279="blocking","Anti-Physical",IF(G279="warding","Anti-Magical","Physical"))))</f>
        <v/>
      </c>
      <c r="O279">
        <f>IF(F279&lt;&gt;"armor","","TBD")</f>
        <v/>
      </c>
      <c r="P279">
        <f>IF(O279="","",IF(OR(G279="channeling",G279="infusing"),"Magical",IF(G279="blocking","Anti-Physical",IF(G279="warding","Anti-Magical","Physical"))))</f>
        <v/>
      </c>
    </row>
    <row r="280">
      <c r="J280">
        <f>IF(G280="","",IFERROR(IF(G280="infusing",IFERROR(LOOKUP(2,1/ISNUMBER(SEARCH(_lookup!$D$3:$D$4,H280)),_lookup!$E$3:$E$4),"INT"),VLOOKUP(G280,_lookup!$A$3:$B$14,2,FALSE)),""))</f>
        <v/>
      </c>
      <c r="K280">
        <f>IF(F280&lt;&gt;"weapon","",IF(G280="miscellaneous","1-4",IF(I280="","",IFERROR(VLOOKUP(I280&amp;"|"&amp;IF(LEFT(H280,2)="2H",2,1)&amp;"|"&amp;IF(G280="slashing",1,0),_lookup!$G$3:$H$18,2,FALSE),""))))</f>
        <v/>
      </c>
      <c r="L280">
        <f>IF(K280="","",IF(OR(G280="channeling",G280="infusing"),"Magical",IF(G280="blocking","Anti-Physical",IF(G280="warding","Anti-Magical","Physical"))))</f>
        <v/>
      </c>
      <c r="O280">
        <f>IF(F280&lt;&gt;"armor","","TBD")</f>
        <v/>
      </c>
      <c r="P280">
        <f>IF(O280="","",IF(OR(G280="channeling",G280="infusing"),"Magical",IF(G280="blocking","Anti-Physical",IF(G280="warding","Anti-Magical","Physical"))))</f>
        <v/>
      </c>
    </row>
    <row r="281">
      <c r="J281">
        <f>IF(G281="","",IFERROR(IF(G281="infusing",IFERROR(LOOKUP(2,1/ISNUMBER(SEARCH(_lookup!$D$3:$D$4,H281)),_lookup!$E$3:$E$4),"INT"),VLOOKUP(G281,_lookup!$A$3:$B$14,2,FALSE)),""))</f>
        <v/>
      </c>
      <c r="K281">
        <f>IF(F281&lt;&gt;"weapon","",IF(G281="miscellaneous","1-4",IF(I281="","",IFERROR(VLOOKUP(I281&amp;"|"&amp;IF(LEFT(H281,2)="2H",2,1)&amp;"|"&amp;IF(G281="slashing",1,0),_lookup!$G$3:$H$18,2,FALSE),""))))</f>
        <v/>
      </c>
      <c r="L281">
        <f>IF(K281="","",IF(OR(G281="channeling",G281="infusing"),"Magical",IF(G281="blocking","Anti-Physical",IF(G281="warding","Anti-Magical","Physical"))))</f>
        <v/>
      </c>
      <c r="O281">
        <f>IF(F281&lt;&gt;"armor","","TBD")</f>
        <v/>
      </c>
      <c r="P281">
        <f>IF(O281="","",IF(OR(G281="channeling",G281="infusing"),"Magical",IF(G281="blocking","Anti-Physical",IF(G281="warding","Anti-Magical","Physical"))))</f>
        <v/>
      </c>
    </row>
    <row r="282">
      <c r="J282">
        <f>IF(G282="","",IFERROR(IF(G282="infusing",IFERROR(LOOKUP(2,1/ISNUMBER(SEARCH(_lookup!$D$3:$D$4,H282)),_lookup!$E$3:$E$4),"INT"),VLOOKUP(G282,_lookup!$A$3:$B$14,2,FALSE)),""))</f>
        <v/>
      </c>
      <c r="K282">
        <f>IF(F282&lt;&gt;"weapon","",IF(G282="miscellaneous","1-4",IF(I282="","",IFERROR(VLOOKUP(I282&amp;"|"&amp;IF(LEFT(H282,2)="2H",2,1)&amp;"|"&amp;IF(G282="slashing",1,0),_lookup!$G$3:$H$18,2,FALSE),""))))</f>
        <v/>
      </c>
      <c r="L282">
        <f>IF(K282="","",IF(OR(G282="channeling",G282="infusing"),"Magical",IF(G282="blocking","Anti-Physical",IF(G282="warding","Anti-Magical","Physical"))))</f>
        <v/>
      </c>
      <c r="O282">
        <f>IF(F282&lt;&gt;"armor","","TBD")</f>
        <v/>
      </c>
      <c r="P282">
        <f>IF(O282="","",IF(OR(G282="channeling",G282="infusing"),"Magical",IF(G282="blocking","Anti-Physical",IF(G282="warding","Anti-Magical","Physical"))))</f>
        <v/>
      </c>
    </row>
    <row r="283">
      <c r="J283">
        <f>IF(G283="","",IFERROR(IF(G283="infusing",IFERROR(LOOKUP(2,1/ISNUMBER(SEARCH(_lookup!$D$3:$D$4,H283)),_lookup!$E$3:$E$4),"INT"),VLOOKUP(G283,_lookup!$A$3:$B$14,2,FALSE)),""))</f>
        <v/>
      </c>
      <c r="K283">
        <f>IF(F283&lt;&gt;"weapon","",IF(G283="miscellaneous","1-4",IF(I283="","",IFERROR(VLOOKUP(I283&amp;"|"&amp;IF(LEFT(H283,2)="2H",2,1)&amp;"|"&amp;IF(G283="slashing",1,0),_lookup!$G$3:$H$18,2,FALSE),""))))</f>
        <v/>
      </c>
      <c r="L283">
        <f>IF(K283="","",IF(OR(G283="channeling",G283="infusing"),"Magical",IF(G283="blocking","Anti-Physical",IF(G283="warding","Anti-Magical","Physical"))))</f>
        <v/>
      </c>
      <c r="O283">
        <f>IF(F283&lt;&gt;"armor","","TBD")</f>
        <v/>
      </c>
      <c r="P283">
        <f>IF(O283="","",IF(OR(G283="channeling",G283="infusing"),"Magical",IF(G283="blocking","Anti-Physical",IF(G283="warding","Anti-Magical","Physical"))))</f>
        <v/>
      </c>
    </row>
    <row r="284">
      <c r="J284">
        <f>IF(G284="","",IFERROR(IF(G284="infusing",IFERROR(LOOKUP(2,1/ISNUMBER(SEARCH(_lookup!$D$3:$D$4,H284)),_lookup!$E$3:$E$4),"INT"),VLOOKUP(G284,_lookup!$A$3:$B$14,2,FALSE)),""))</f>
        <v/>
      </c>
      <c r="K284">
        <f>IF(F284&lt;&gt;"weapon","",IF(G284="miscellaneous","1-4",IF(I284="","",IFERROR(VLOOKUP(I284&amp;"|"&amp;IF(LEFT(H284,2)="2H",2,1)&amp;"|"&amp;IF(G284="slashing",1,0),_lookup!$G$3:$H$18,2,FALSE),""))))</f>
        <v/>
      </c>
      <c r="L284">
        <f>IF(K284="","",IF(OR(G284="channeling",G284="infusing"),"Magical",IF(G284="blocking","Anti-Physical",IF(G284="warding","Anti-Magical","Physical"))))</f>
        <v/>
      </c>
      <c r="O284">
        <f>IF(F284&lt;&gt;"armor","","TBD")</f>
        <v/>
      </c>
      <c r="P284">
        <f>IF(O284="","",IF(OR(G284="channeling",G284="infusing"),"Magical",IF(G284="blocking","Anti-Physical",IF(G284="warding","Anti-Magical","Physical"))))</f>
        <v/>
      </c>
    </row>
    <row r="285">
      <c r="J285">
        <f>IF(G285="","",IFERROR(IF(G285="infusing",IFERROR(LOOKUP(2,1/ISNUMBER(SEARCH(_lookup!$D$3:$D$4,H285)),_lookup!$E$3:$E$4),"INT"),VLOOKUP(G285,_lookup!$A$3:$B$14,2,FALSE)),""))</f>
        <v/>
      </c>
      <c r="K285">
        <f>IF(F285&lt;&gt;"weapon","",IF(G285="miscellaneous","1-4",IF(I285="","",IFERROR(VLOOKUP(I285&amp;"|"&amp;IF(LEFT(H285,2)="2H",2,1)&amp;"|"&amp;IF(G285="slashing",1,0),_lookup!$G$3:$H$18,2,FALSE),""))))</f>
        <v/>
      </c>
      <c r="L285">
        <f>IF(K285="","",IF(OR(G285="channeling",G285="infusing"),"Magical",IF(G285="blocking","Anti-Physical",IF(G285="warding","Anti-Magical","Physical"))))</f>
        <v/>
      </c>
      <c r="O285">
        <f>IF(F285&lt;&gt;"armor","","TBD")</f>
        <v/>
      </c>
      <c r="P285">
        <f>IF(O285="","",IF(OR(G285="channeling",G285="infusing"),"Magical",IF(G285="blocking","Anti-Physical",IF(G285="warding","Anti-Magical","Physical"))))</f>
        <v/>
      </c>
    </row>
    <row r="286">
      <c r="J286">
        <f>IF(G286="","",IFERROR(IF(G286="infusing",IFERROR(LOOKUP(2,1/ISNUMBER(SEARCH(_lookup!$D$3:$D$4,H286)),_lookup!$E$3:$E$4),"INT"),VLOOKUP(G286,_lookup!$A$3:$B$14,2,FALSE)),""))</f>
        <v/>
      </c>
      <c r="K286">
        <f>IF(F286&lt;&gt;"weapon","",IF(G286="miscellaneous","1-4",IF(I286="","",IFERROR(VLOOKUP(I286&amp;"|"&amp;IF(LEFT(H286,2)="2H",2,1)&amp;"|"&amp;IF(G286="slashing",1,0),_lookup!$G$3:$H$18,2,FALSE),""))))</f>
        <v/>
      </c>
      <c r="L286">
        <f>IF(K286="","",IF(OR(G286="channeling",G286="infusing"),"Magical",IF(G286="blocking","Anti-Physical",IF(G286="warding","Anti-Magical","Physical"))))</f>
        <v/>
      </c>
      <c r="O286">
        <f>IF(F286&lt;&gt;"armor","","TBD")</f>
        <v/>
      </c>
      <c r="P286">
        <f>IF(O286="","",IF(OR(G286="channeling",G286="infusing"),"Magical",IF(G286="blocking","Anti-Physical",IF(G286="warding","Anti-Magical","Physical"))))</f>
        <v/>
      </c>
    </row>
    <row r="287">
      <c r="J287">
        <f>IF(G287="","",IFERROR(IF(G287="infusing",IFERROR(LOOKUP(2,1/ISNUMBER(SEARCH(_lookup!$D$3:$D$4,H287)),_lookup!$E$3:$E$4),"INT"),VLOOKUP(G287,_lookup!$A$3:$B$14,2,FALSE)),""))</f>
        <v/>
      </c>
      <c r="K287">
        <f>IF(F287&lt;&gt;"weapon","",IF(G287="miscellaneous","1-4",IF(I287="","",IFERROR(VLOOKUP(I287&amp;"|"&amp;IF(LEFT(H287,2)="2H",2,1)&amp;"|"&amp;IF(G287="slashing",1,0),_lookup!$G$3:$H$18,2,FALSE),""))))</f>
        <v/>
      </c>
      <c r="L287">
        <f>IF(K287="","",IF(OR(G287="channeling",G287="infusing"),"Magical",IF(G287="blocking","Anti-Physical",IF(G287="warding","Anti-Magical","Physical"))))</f>
        <v/>
      </c>
      <c r="O287">
        <f>IF(F287&lt;&gt;"armor","","TBD")</f>
        <v/>
      </c>
      <c r="P287">
        <f>IF(O287="","",IF(OR(G287="channeling",G287="infusing"),"Magical",IF(G287="blocking","Anti-Physical",IF(G287="warding","Anti-Magical","Physical"))))</f>
        <v/>
      </c>
    </row>
    <row r="288">
      <c r="J288">
        <f>IF(G288="","",IFERROR(IF(G288="infusing",IFERROR(LOOKUP(2,1/ISNUMBER(SEARCH(_lookup!$D$3:$D$4,H288)),_lookup!$E$3:$E$4),"INT"),VLOOKUP(G288,_lookup!$A$3:$B$14,2,FALSE)),""))</f>
        <v/>
      </c>
      <c r="K288">
        <f>IF(F288&lt;&gt;"weapon","",IF(G288="miscellaneous","1-4",IF(I288="","",IFERROR(VLOOKUP(I288&amp;"|"&amp;IF(LEFT(H288,2)="2H",2,1)&amp;"|"&amp;IF(G288="slashing",1,0),_lookup!$G$3:$H$18,2,FALSE),""))))</f>
        <v/>
      </c>
      <c r="L288">
        <f>IF(K288="","",IF(OR(G288="channeling",G288="infusing"),"Magical",IF(G288="blocking","Anti-Physical",IF(G288="warding","Anti-Magical","Physical"))))</f>
        <v/>
      </c>
      <c r="O288">
        <f>IF(F288&lt;&gt;"armor","","TBD")</f>
        <v/>
      </c>
      <c r="P288">
        <f>IF(O288="","",IF(OR(G288="channeling",G288="infusing"),"Magical",IF(G288="blocking","Anti-Physical",IF(G288="warding","Anti-Magical","Physical"))))</f>
        <v/>
      </c>
    </row>
    <row r="289">
      <c r="J289">
        <f>IF(G289="","",IFERROR(IF(G289="infusing",IFERROR(LOOKUP(2,1/ISNUMBER(SEARCH(_lookup!$D$3:$D$4,H289)),_lookup!$E$3:$E$4),"INT"),VLOOKUP(G289,_lookup!$A$3:$B$14,2,FALSE)),""))</f>
        <v/>
      </c>
      <c r="K289">
        <f>IF(F289&lt;&gt;"weapon","",IF(G289="miscellaneous","1-4",IF(I289="","",IFERROR(VLOOKUP(I289&amp;"|"&amp;IF(LEFT(H289,2)="2H",2,1)&amp;"|"&amp;IF(G289="slashing",1,0),_lookup!$G$3:$H$18,2,FALSE),""))))</f>
        <v/>
      </c>
      <c r="L289">
        <f>IF(K289="","",IF(OR(G289="channeling",G289="infusing"),"Magical",IF(G289="blocking","Anti-Physical",IF(G289="warding","Anti-Magical","Physical"))))</f>
        <v/>
      </c>
      <c r="O289">
        <f>IF(F289&lt;&gt;"armor","","TBD")</f>
        <v/>
      </c>
      <c r="P289">
        <f>IF(O289="","",IF(OR(G289="channeling",G289="infusing"),"Magical",IF(G289="blocking","Anti-Physical",IF(G289="warding","Anti-Magical","Physical"))))</f>
        <v/>
      </c>
    </row>
    <row r="290">
      <c r="J290">
        <f>IF(G290="","",IFERROR(IF(G290="infusing",IFERROR(LOOKUP(2,1/ISNUMBER(SEARCH(_lookup!$D$3:$D$4,H290)),_lookup!$E$3:$E$4),"INT"),VLOOKUP(G290,_lookup!$A$3:$B$14,2,FALSE)),""))</f>
        <v/>
      </c>
      <c r="K290">
        <f>IF(F290&lt;&gt;"weapon","",IF(G290="miscellaneous","1-4",IF(I290="","",IFERROR(VLOOKUP(I290&amp;"|"&amp;IF(LEFT(H290,2)="2H",2,1)&amp;"|"&amp;IF(G290="slashing",1,0),_lookup!$G$3:$H$18,2,FALSE),""))))</f>
        <v/>
      </c>
      <c r="L290">
        <f>IF(K290="","",IF(OR(G290="channeling",G290="infusing"),"Magical",IF(G290="blocking","Anti-Physical",IF(G290="warding","Anti-Magical","Physical"))))</f>
        <v/>
      </c>
      <c r="O290">
        <f>IF(F290&lt;&gt;"armor","","TBD")</f>
        <v/>
      </c>
      <c r="P290">
        <f>IF(O290="","",IF(OR(G290="channeling",G290="infusing"),"Magical",IF(G290="blocking","Anti-Physical",IF(G290="warding","Anti-Magical","Physical"))))</f>
        <v/>
      </c>
    </row>
    <row r="291">
      <c r="J291">
        <f>IF(G291="","",IFERROR(IF(G291="infusing",IFERROR(LOOKUP(2,1/ISNUMBER(SEARCH(_lookup!$D$3:$D$4,H291)),_lookup!$E$3:$E$4),"INT"),VLOOKUP(G291,_lookup!$A$3:$B$14,2,FALSE)),""))</f>
        <v/>
      </c>
      <c r="K291">
        <f>IF(F291&lt;&gt;"weapon","",IF(G291="miscellaneous","1-4",IF(I291="","",IFERROR(VLOOKUP(I291&amp;"|"&amp;IF(LEFT(H291,2)="2H",2,1)&amp;"|"&amp;IF(G291="slashing",1,0),_lookup!$G$3:$H$18,2,FALSE),""))))</f>
        <v/>
      </c>
      <c r="L291">
        <f>IF(K291="","",IF(OR(G291="channeling",G291="infusing"),"Magical",IF(G291="blocking","Anti-Physical",IF(G291="warding","Anti-Magical","Physical"))))</f>
        <v/>
      </c>
      <c r="O291">
        <f>IF(F291&lt;&gt;"armor","","TBD")</f>
        <v/>
      </c>
      <c r="P291">
        <f>IF(O291="","",IF(OR(G291="channeling",G291="infusing"),"Magical",IF(G291="blocking","Anti-Physical",IF(G291="warding","Anti-Magical","Physical"))))</f>
        <v/>
      </c>
    </row>
    <row r="292">
      <c r="J292">
        <f>IF(G292="","",IFERROR(IF(G292="infusing",IFERROR(LOOKUP(2,1/ISNUMBER(SEARCH(_lookup!$D$3:$D$4,H292)),_lookup!$E$3:$E$4),"INT"),VLOOKUP(G292,_lookup!$A$3:$B$14,2,FALSE)),""))</f>
        <v/>
      </c>
      <c r="K292">
        <f>IF(F292&lt;&gt;"weapon","",IF(G292="miscellaneous","1-4",IF(I292="","",IFERROR(VLOOKUP(I292&amp;"|"&amp;IF(LEFT(H292,2)="2H",2,1)&amp;"|"&amp;IF(G292="slashing",1,0),_lookup!$G$3:$H$18,2,FALSE),""))))</f>
        <v/>
      </c>
      <c r="L292">
        <f>IF(K292="","",IF(OR(G292="channeling",G292="infusing"),"Magical",IF(G292="blocking","Anti-Physical",IF(G292="warding","Anti-Magical","Physical"))))</f>
        <v/>
      </c>
      <c r="O292">
        <f>IF(F292&lt;&gt;"armor","","TBD")</f>
        <v/>
      </c>
      <c r="P292">
        <f>IF(O292="","",IF(OR(G292="channeling",G292="infusing"),"Magical",IF(G292="blocking","Anti-Physical",IF(G292="warding","Anti-Magical","Physical"))))</f>
        <v/>
      </c>
    </row>
    <row r="293">
      <c r="J293">
        <f>IF(G293="","",IFERROR(IF(G293="infusing",IFERROR(LOOKUP(2,1/ISNUMBER(SEARCH(_lookup!$D$3:$D$4,H293)),_lookup!$E$3:$E$4),"INT"),VLOOKUP(G293,_lookup!$A$3:$B$14,2,FALSE)),""))</f>
        <v/>
      </c>
      <c r="K293">
        <f>IF(F293&lt;&gt;"weapon","",IF(G293="miscellaneous","1-4",IF(I293="","",IFERROR(VLOOKUP(I293&amp;"|"&amp;IF(LEFT(H293,2)="2H",2,1)&amp;"|"&amp;IF(G293="slashing",1,0),_lookup!$G$3:$H$18,2,FALSE),""))))</f>
        <v/>
      </c>
      <c r="L293">
        <f>IF(K293="","",IF(OR(G293="channeling",G293="infusing"),"Magical",IF(G293="blocking","Anti-Physical",IF(G293="warding","Anti-Magical","Physical"))))</f>
        <v/>
      </c>
      <c r="O293">
        <f>IF(F293&lt;&gt;"armor","","TBD")</f>
        <v/>
      </c>
      <c r="P293">
        <f>IF(O293="","",IF(OR(G293="channeling",G293="infusing"),"Magical",IF(G293="blocking","Anti-Physical",IF(G293="warding","Anti-Magical","Physical"))))</f>
        <v/>
      </c>
    </row>
    <row r="294">
      <c r="J294">
        <f>IF(G294="","",IFERROR(IF(G294="infusing",IFERROR(LOOKUP(2,1/ISNUMBER(SEARCH(_lookup!$D$3:$D$4,H294)),_lookup!$E$3:$E$4),"INT"),VLOOKUP(G294,_lookup!$A$3:$B$14,2,FALSE)),""))</f>
        <v/>
      </c>
      <c r="K294">
        <f>IF(F294&lt;&gt;"weapon","",IF(G294="miscellaneous","1-4",IF(I294="","",IFERROR(VLOOKUP(I294&amp;"|"&amp;IF(LEFT(H294,2)="2H",2,1)&amp;"|"&amp;IF(G294="slashing",1,0),_lookup!$G$3:$H$18,2,FALSE),""))))</f>
        <v/>
      </c>
      <c r="L294">
        <f>IF(K294="","",IF(OR(G294="channeling",G294="infusing"),"Magical",IF(G294="blocking","Anti-Physical",IF(G294="warding","Anti-Magical","Physical"))))</f>
        <v/>
      </c>
      <c r="O294">
        <f>IF(F294&lt;&gt;"armor","","TBD")</f>
        <v/>
      </c>
      <c r="P294">
        <f>IF(O294="","",IF(OR(G294="channeling",G294="infusing"),"Magical",IF(G294="blocking","Anti-Physical",IF(G294="warding","Anti-Magical","Physical"))))</f>
        <v/>
      </c>
    </row>
    <row r="295">
      <c r="J295">
        <f>IF(G295="","",IFERROR(IF(G295="infusing",IFERROR(LOOKUP(2,1/ISNUMBER(SEARCH(_lookup!$D$3:$D$4,H295)),_lookup!$E$3:$E$4),"INT"),VLOOKUP(G295,_lookup!$A$3:$B$14,2,FALSE)),""))</f>
        <v/>
      </c>
      <c r="K295">
        <f>IF(F295&lt;&gt;"weapon","",IF(G295="miscellaneous","1-4",IF(I295="","",IFERROR(VLOOKUP(I295&amp;"|"&amp;IF(LEFT(H295,2)="2H",2,1)&amp;"|"&amp;IF(G295="slashing",1,0),_lookup!$G$3:$H$18,2,FALSE),""))))</f>
        <v/>
      </c>
      <c r="L295">
        <f>IF(K295="","",IF(OR(G295="channeling",G295="infusing"),"Magical",IF(G295="blocking","Anti-Physical",IF(G295="warding","Anti-Magical","Physical"))))</f>
        <v/>
      </c>
      <c r="O295">
        <f>IF(F295&lt;&gt;"armor","","TBD")</f>
        <v/>
      </c>
      <c r="P295">
        <f>IF(O295="","",IF(OR(G295="channeling",G295="infusing"),"Magical",IF(G295="blocking","Anti-Physical",IF(G295="warding","Anti-Magical","Physical"))))</f>
        <v/>
      </c>
    </row>
    <row r="296">
      <c r="J296">
        <f>IF(G296="","",IFERROR(IF(G296="infusing",IFERROR(LOOKUP(2,1/ISNUMBER(SEARCH(_lookup!$D$3:$D$4,H296)),_lookup!$E$3:$E$4),"INT"),VLOOKUP(G296,_lookup!$A$3:$B$14,2,FALSE)),""))</f>
        <v/>
      </c>
      <c r="K296">
        <f>IF(F296&lt;&gt;"weapon","",IF(G296="miscellaneous","1-4",IF(I296="","",IFERROR(VLOOKUP(I296&amp;"|"&amp;IF(LEFT(H296,2)="2H",2,1)&amp;"|"&amp;IF(G296="slashing",1,0),_lookup!$G$3:$H$18,2,FALSE),""))))</f>
        <v/>
      </c>
      <c r="L296">
        <f>IF(K296="","",IF(OR(G296="channeling",G296="infusing"),"Magical",IF(G296="blocking","Anti-Physical",IF(G296="warding","Anti-Magical","Physical"))))</f>
        <v/>
      </c>
      <c r="O296">
        <f>IF(F296&lt;&gt;"armor","","TBD")</f>
        <v/>
      </c>
      <c r="P296">
        <f>IF(O296="","",IF(OR(G296="channeling",G296="infusing"),"Magical",IF(G296="blocking","Anti-Physical",IF(G296="warding","Anti-Magical","Physical"))))</f>
        <v/>
      </c>
    </row>
    <row r="297">
      <c r="J297">
        <f>IF(G297="","",IFERROR(IF(G297="infusing",IFERROR(LOOKUP(2,1/ISNUMBER(SEARCH(_lookup!$D$3:$D$4,H297)),_lookup!$E$3:$E$4),"INT"),VLOOKUP(G297,_lookup!$A$3:$B$14,2,FALSE)),""))</f>
        <v/>
      </c>
      <c r="K297">
        <f>IF(F297&lt;&gt;"weapon","",IF(G297="miscellaneous","1-4",IF(I297="","",IFERROR(VLOOKUP(I297&amp;"|"&amp;IF(LEFT(H297,2)="2H",2,1)&amp;"|"&amp;IF(G297="slashing",1,0),_lookup!$G$3:$H$18,2,FALSE),""))))</f>
        <v/>
      </c>
      <c r="L297">
        <f>IF(K297="","",IF(OR(G297="channeling",G297="infusing"),"Magical",IF(G297="blocking","Anti-Physical",IF(G297="warding","Anti-Magical","Physical"))))</f>
        <v/>
      </c>
      <c r="O297">
        <f>IF(F297&lt;&gt;"armor","","TBD")</f>
        <v/>
      </c>
      <c r="P297">
        <f>IF(O297="","",IF(OR(G297="channeling",G297="infusing"),"Magical",IF(G297="blocking","Anti-Physical",IF(G297="warding","Anti-Magical","Physical"))))</f>
        <v/>
      </c>
    </row>
    <row r="298">
      <c r="J298">
        <f>IF(G298="","",IFERROR(IF(G298="infusing",IFERROR(LOOKUP(2,1/ISNUMBER(SEARCH(_lookup!$D$3:$D$4,H298)),_lookup!$E$3:$E$4),"INT"),VLOOKUP(G298,_lookup!$A$3:$B$14,2,FALSE)),""))</f>
        <v/>
      </c>
      <c r="K298">
        <f>IF(F298&lt;&gt;"weapon","",IF(G298="miscellaneous","1-4",IF(I298="","",IFERROR(VLOOKUP(I298&amp;"|"&amp;IF(LEFT(H298,2)="2H",2,1)&amp;"|"&amp;IF(G298="slashing",1,0),_lookup!$G$3:$H$18,2,FALSE),""))))</f>
        <v/>
      </c>
      <c r="L298">
        <f>IF(K298="","",IF(OR(G298="channeling",G298="infusing"),"Magical",IF(G298="blocking","Anti-Physical",IF(G298="warding","Anti-Magical","Physical"))))</f>
        <v/>
      </c>
      <c r="O298">
        <f>IF(F298&lt;&gt;"armor","","TBD")</f>
        <v/>
      </c>
      <c r="P298">
        <f>IF(O298="","",IF(OR(G298="channeling",G298="infusing"),"Magical",IF(G298="blocking","Anti-Physical",IF(G298="warding","Anti-Magical","Physical"))))</f>
        <v/>
      </c>
    </row>
    <row r="299">
      <c r="J299">
        <f>IF(G299="","",IFERROR(IF(G299="infusing",IFERROR(LOOKUP(2,1/ISNUMBER(SEARCH(_lookup!$D$3:$D$4,H299)),_lookup!$E$3:$E$4),"INT"),VLOOKUP(G299,_lookup!$A$3:$B$14,2,FALSE)),""))</f>
        <v/>
      </c>
      <c r="K299">
        <f>IF(F299&lt;&gt;"weapon","",IF(G299="miscellaneous","1-4",IF(I299="","",IFERROR(VLOOKUP(I299&amp;"|"&amp;IF(LEFT(H299,2)="2H",2,1)&amp;"|"&amp;IF(G299="slashing",1,0),_lookup!$G$3:$H$18,2,FALSE),""))))</f>
        <v/>
      </c>
      <c r="L299">
        <f>IF(K299="","",IF(OR(G299="channeling",G299="infusing"),"Magical",IF(G299="blocking","Anti-Physical",IF(G299="warding","Anti-Magical","Physical"))))</f>
        <v/>
      </c>
      <c r="O299">
        <f>IF(F299&lt;&gt;"armor","","TBD")</f>
        <v/>
      </c>
      <c r="P299">
        <f>IF(O299="","",IF(OR(G299="channeling",G299="infusing"),"Magical",IF(G299="blocking","Anti-Physical",IF(G299="warding","Anti-Magical","Physical"))))</f>
        <v/>
      </c>
    </row>
    <row r="300">
      <c r="J300">
        <f>IF(G300="","",IFERROR(IF(G300="infusing",IFERROR(LOOKUP(2,1/ISNUMBER(SEARCH(_lookup!$D$3:$D$4,H300)),_lookup!$E$3:$E$4),"INT"),VLOOKUP(G300,_lookup!$A$3:$B$14,2,FALSE)),""))</f>
        <v/>
      </c>
      <c r="K300">
        <f>IF(F300&lt;&gt;"weapon","",IF(G300="miscellaneous","1-4",IF(I300="","",IFERROR(VLOOKUP(I300&amp;"|"&amp;IF(LEFT(H300,2)="2H",2,1)&amp;"|"&amp;IF(G300="slashing",1,0),_lookup!$G$3:$H$18,2,FALSE),""))))</f>
        <v/>
      </c>
      <c r="L300">
        <f>IF(K300="","",IF(OR(G300="channeling",G300="infusing"),"Magical",IF(G300="blocking","Anti-Physical",IF(G300="warding","Anti-Magical","Physical"))))</f>
        <v/>
      </c>
      <c r="O300">
        <f>IF(F300&lt;&gt;"armor","","TBD")</f>
        <v/>
      </c>
      <c r="P300">
        <f>IF(O300="","",IF(OR(G300="channeling",G300="infusing"),"Magical",IF(G300="blocking","Anti-Physical",IF(G300="warding","Anti-Magical","Physical"))))</f>
        <v/>
      </c>
    </row>
    <row r="301">
      <c r="J301">
        <f>IF(G301="","",IFERROR(IF(G301="infusing",IFERROR(LOOKUP(2,1/ISNUMBER(SEARCH(_lookup!$D$3:$D$4,H301)),_lookup!$E$3:$E$4),"INT"),VLOOKUP(G301,_lookup!$A$3:$B$14,2,FALSE)),""))</f>
        <v/>
      </c>
      <c r="K301">
        <f>IF(F301&lt;&gt;"weapon","",IF(G301="miscellaneous","1-4",IF(I301="","",IFERROR(VLOOKUP(I301&amp;"|"&amp;IF(LEFT(H301,2)="2H",2,1)&amp;"|"&amp;IF(G301="slashing",1,0),_lookup!$G$3:$H$18,2,FALSE),""))))</f>
        <v/>
      </c>
      <c r="L301">
        <f>IF(K301="","",IF(OR(G301="channeling",G301="infusing"),"Magical",IF(G301="blocking","Anti-Physical",IF(G301="warding","Anti-Magical","Physical"))))</f>
        <v/>
      </c>
      <c r="O301">
        <f>IF(F301&lt;&gt;"armor","","TBD")</f>
        <v/>
      </c>
      <c r="P301">
        <f>IF(O301="","",IF(OR(G301="channeling",G301="infusing"),"Magical",IF(G301="blocking","Anti-Physical",IF(G301="warding","Anti-Magical","Physical"))))</f>
        <v/>
      </c>
    </row>
    <row r="302">
      <c r="J302">
        <f>IF(G302="","",IFERROR(IF(G302="infusing",IFERROR(LOOKUP(2,1/ISNUMBER(SEARCH(_lookup!$D$3:$D$4,H302)),_lookup!$E$3:$E$4),"INT"),VLOOKUP(G302,_lookup!$A$3:$B$14,2,FALSE)),""))</f>
        <v/>
      </c>
      <c r="K302">
        <f>IF(F302&lt;&gt;"weapon","",IF(G302="miscellaneous","1-4",IF(I302="","",IFERROR(VLOOKUP(I302&amp;"|"&amp;IF(LEFT(H302,2)="2H",2,1)&amp;"|"&amp;IF(G302="slashing",1,0),_lookup!$G$3:$H$18,2,FALSE),""))))</f>
        <v/>
      </c>
      <c r="L302">
        <f>IF(K302="","",IF(OR(G302="channeling",G302="infusing"),"Magical",IF(G302="blocking","Anti-Physical",IF(G302="warding","Anti-Magical","Physical"))))</f>
        <v/>
      </c>
      <c r="O302">
        <f>IF(F302&lt;&gt;"armor","","TBD")</f>
        <v/>
      </c>
      <c r="P302">
        <f>IF(O302="","",IF(OR(G302="channeling",G302="infusing"),"Magical",IF(G302="blocking","Anti-Physical",IF(G302="warding","Anti-Magical","Physical"))))</f>
        <v/>
      </c>
    </row>
    <row r="303">
      <c r="J303">
        <f>IF(G303="","",IFERROR(IF(G303="infusing",IFERROR(LOOKUP(2,1/ISNUMBER(SEARCH(_lookup!$D$3:$D$4,H303)),_lookup!$E$3:$E$4),"INT"),VLOOKUP(G303,_lookup!$A$3:$B$14,2,FALSE)),""))</f>
        <v/>
      </c>
      <c r="K303">
        <f>IF(F303&lt;&gt;"weapon","",IF(G303="miscellaneous","1-4",IF(I303="","",IFERROR(VLOOKUP(I303&amp;"|"&amp;IF(LEFT(H303,2)="2H",2,1)&amp;"|"&amp;IF(G303="slashing",1,0),_lookup!$G$3:$H$18,2,FALSE),""))))</f>
        <v/>
      </c>
      <c r="L303">
        <f>IF(K303="","",IF(OR(G303="channeling",G303="infusing"),"Magical",IF(G303="blocking","Anti-Physical",IF(G303="warding","Anti-Magical","Physical"))))</f>
        <v/>
      </c>
      <c r="O303">
        <f>IF(F303&lt;&gt;"armor","","TBD")</f>
        <v/>
      </c>
      <c r="P303">
        <f>IF(O303="","",IF(OR(G303="channeling",G303="infusing"),"Magical",IF(G303="blocking","Anti-Physical",IF(G303="warding","Anti-Magical","Physical"))))</f>
        <v/>
      </c>
    </row>
    <row r="304">
      <c r="J304">
        <f>IF(G304="","",IFERROR(IF(G304="infusing",IFERROR(LOOKUP(2,1/ISNUMBER(SEARCH(_lookup!$D$3:$D$4,H304)),_lookup!$E$3:$E$4),"INT"),VLOOKUP(G304,_lookup!$A$3:$B$14,2,FALSE)),""))</f>
        <v/>
      </c>
      <c r="K304">
        <f>IF(F304&lt;&gt;"weapon","",IF(G304="miscellaneous","1-4",IF(I304="","",IFERROR(VLOOKUP(I304&amp;"|"&amp;IF(LEFT(H304,2)="2H",2,1)&amp;"|"&amp;IF(G304="slashing",1,0),_lookup!$G$3:$H$18,2,FALSE),""))))</f>
        <v/>
      </c>
      <c r="L304">
        <f>IF(K304="","",IF(OR(G304="channeling",G304="infusing"),"Magical",IF(G304="blocking","Anti-Physical",IF(G304="warding","Anti-Magical","Physical"))))</f>
        <v/>
      </c>
      <c r="O304">
        <f>IF(F304&lt;&gt;"armor","","TBD")</f>
        <v/>
      </c>
      <c r="P304">
        <f>IF(O304="","",IF(OR(G304="channeling",G304="infusing"),"Magical",IF(G304="blocking","Anti-Physical",IF(G304="warding","Anti-Magical","Physical"))))</f>
        <v/>
      </c>
    </row>
    <row r="305">
      <c r="J305">
        <f>IF(G305="","",IFERROR(IF(G305="infusing",IFERROR(LOOKUP(2,1/ISNUMBER(SEARCH(_lookup!$D$3:$D$4,H305)),_lookup!$E$3:$E$4),"INT"),VLOOKUP(G305,_lookup!$A$3:$B$14,2,FALSE)),""))</f>
        <v/>
      </c>
      <c r="K305">
        <f>IF(F305&lt;&gt;"weapon","",IF(G305="miscellaneous","1-4",IF(I305="","",IFERROR(VLOOKUP(I305&amp;"|"&amp;IF(LEFT(H305,2)="2H",2,1)&amp;"|"&amp;IF(G305="slashing",1,0),_lookup!$G$3:$H$18,2,FALSE),""))))</f>
        <v/>
      </c>
      <c r="L305">
        <f>IF(K305="","",IF(OR(G305="channeling",G305="infusing"),"Magical",IF(G305="blocking","Anti-Physical",IF(G305="warding","Anti-Magical","Physical"))))</f>
        <v/>
      </c>
      <c r="O305">
        <f>IF(F305&lt;&gt;"armor","","TBD")</f>
        <v/>
      </c>
      <c r="P305">
        <f>IF(O305="","",IF(OR(G305="channeling",G305="infusing"),"Magical",IF(G305="blocking","Anti-Physical",IF(G305="warding","Anti-Magical","Physical"))))</f>
        <v/>
      </c>
    </row>
    <row r="306">
      <c r="J306">
        <f>IF(G306="","",IFERROR(IF(G306="infusing",IFERROR(LOOKUP(2,1/ISNUMBER(SEARCH(_lookup!$D$3:$D$4,H306)),_lookup!$E$3:$E$4),"INT"),VLOOKUP(G306,_lookup!$A$3:$B$14,2,FALSE)),""))</f>
        <v/>
      </c>
      <c r="K306">
        <f>IF(F306&lt;&gt;"weapon","",IF(G306="miscellaneous","1-4",IF(I306="","",IFERROR(VLOOKUP(I306&amp;"|"&amp;IF(LEFT(H306,2)="2H",2,1)&amp;"|"&amp;IF(G306="slashing",1,0),_lookup!$G$3:$H$18,2,FALSE),""))))</f>
        <v/>
      </c>
      <c r="L306">
        <f>IF(K306="","",IF(OR(G306="channeling",G306="infusing"),"Magical",IF(G306="blocking","Anti-Physical",IF(G306="warding","Anti-Magical","Physical"))))</f>
        <v/>
      </c>
      <c r="O306">
        <f>IF(F306&lt;&gt;"armor","","TBD")</f>
        <v/>
      </c>
      <c r="P306">
        <f>IF(O306="","",IF(OR(G306="channeling",G306="infusing"),"Magical",IF(G306="blocking","Anti-Physical",IF(G306="warding","Anti-Magical","Physical"))))</f>
        <v/>
      </c>
    </row>
    <row r="307">
      <c r="J307">
        <f>IF(G307="","",IFERROR(IF(G307="infusing",IFERROR(LOOKUP(2,1/ISNUMBER(SEARCH(_lookup!$D$3:$D$4,H307)),_lookup!$E$3:$E$4),"INT"),VLOOKUP(G307,_lookup!$A$3:$B$14,2,FALSE)),""))</f>
        <v/>
      </c>
      <c r="K307">
        <f>IF(F307&lt;&gt;"weapon","",IF(G307="miscellaneous","1-4",IF(I307="","",IFERROR(VLOOKUP(I307&amp;"|"&amp;IF(LEFT(H307,2)="2H",2,1)&amp;"|"&amp;IF(G307="slashing",1,0),_lookup!$G$3:$H$18,2,FALSE),""))))</f>
        <v/>
      </c>
      <c r="L307">
        <f>IF(K307="","",IF(OR(G307="channeling",G307="infusing"),"Magical",IF(G307="blocking","Anti-Physical",IF(G307="warding","Anti-Magical","Physical"))))</f>
        <v/>
      </c>
      <c r="O307">
        <f>IF(F307&lt;&gt;"armor","","TBD")</f>
        <v/>
      </c>
      <c r="P307">
        <f>IF(O307="","",IF(OR(G307="channeling",G307="infusing"),"Magical",IF(G307="blocking","Anti-Physical",IF(G307="warding","Anti-Magical","Physical"))))</f>
        <v/>
      </c>
    </row>
    <row r="308">
      <c r="J308">
        <f>IF(G308="","",IFERROR(IF(G308="infusing",IFERROR(LOOKUP(2,1/ISNUMBER(SEARCH(_lookup!$D$3:$D$4,H308)),_lookup!$E$3:$E$4),"INT"),VLOOKUP(G308,_lookup!$A$3:$B$14,2,FALSE)),""))</f>
        <v/>
      </c>
      <c r="K308">
        <f>IF(F308&lt;&gt;"weapon","",IF(G308="miscellaneous","1-4",IF(I308="","",IFERROR(VLOOKUP(I308&amp;"|"&amp;IF(LEFT(H308,2)="2H",2,1)&amp;"|"&amp;IF(G308="slashing",1,0),_lookup!$G$3:$H$18,2,FALSE),""))))</f>
        <v/>
      </c>
      <c r="L308">
        <f>IF(K308="","",IF(OR(G308="channeling",G308="infusing"),"Magical",IF(G308="blocking","Anti-Physical",IF(G308="warding","Anti-Magical","Physical"))))</f>
        <v/>
      </c>
      <c r="O308">
        <f>IF(F308&lt;&gt;"armor","","TBD")</f>
        <v/>
      </c>
      <c r="P308">
        <f>IF(O308="","",IF(OR(G308="channeling",G308="infusing"),"Magical",IF(G308="blocking","Anti-Physical",IF(G308="warding","Anti-Magical","Physical"))))</f>
        <v/>
      </c>
    </row>
    <row r="309">
      <c r="J309">
        <f>IF(G309="","",IFERROR(IF(G309="infusing",IFERROR(LOOKUP(2,1/ISNUMBER(SEARCH(_lookup!$D$3:$D$4,H309)),_lookup!$E$3:$E$4),"INT"),VLOOKUP(G309,_lookup!$A$3:$B$14,2,FALSE)),""))</f>
        <v/>
      </c>
      <c r="K309">
        <f>IF(F309&lt;&gt;"weapon","",IF(G309="miscellaneous","1-4",IF(I309="","",IFERROR(VLOOKUP(I309&amp;"|"&amp;IF(LEFT(H309,2)="2H",2,1)&amp;"|"&amp;IF(G309="slashing",1,0),_lookup!$G$3:$H$18,2,FALSE),""))))</f>
        <v/>
      </c>
      <c r="L309">
        <f>IF(K309="","",IF(OR(G309="channeling",G309="infusing"),"Magical",IF(G309="blocking","Anti-Physical",IF(G309="warding","Anti-Magical","Physical"))))</f>
        <v/>
      </c>
      <c r="O309">
        <f>IF(F309&lt;&gt;"armor","","TBD")</f>
        <v/>
      </c>
      <c r="P309">
        <f>IF(O309="","",IF(OR(G309="channeling",G309="infusing"),"Magical",IF(G309="blocking","Anti-Physical",IF(G309="warding","Anti-Magical","Physical"))))</f>
        <v/>
      </c>
    </row>
    <row r="310">
      <c r="J310">
        <f>IF(G310="","",IFERROR(IF(G310="infusing",IFERROR(LOOKUP(2,1/ISNUMBER(SEARCH(_lookup!$D$3:$D$4,H310)),_lookup!$E$3:$E$4),"INT"),VLOOKUP(G310,_lookup!$A$3:$B$14,2,FALSE)),""))</f>
        <v/>
      </c>
      <c r="K310">
        <f>IF(F310&lt;&gt;"weapon","",IF(G310="miscellaneous","1-4",IF(I310="","",IFERROR(VLOOKUP(I310&amp;"|"&amp;IF(LEFT(H310,2)="2H",2,1)&amp;"|"&amp;IF(G310="slashing",1,0),_lookup!$G$3:$H$18,2,FALSE),""))))</f>
        <v/>
      </c>
      <c r="L310">
        <f>IF(K310="","",IF(OR(G310="channeling",G310="infusing"),"Magical",IF(G310="blocking","Anti-Physical",IF(G310="warding","Anti-Magical","Physical"))))</f>
        <v/>
      </c>
      <c r="O310">
        <f>IF(F310&lt;&gt;"armor","","TBD")</f>
        <v/>
      </c>
      <c r="P310">
        <f>IF(O310="","",IF(OR(G310="channeling",G310="infusing"),"Magical",IF(G310="blocking","Anti-Physical",IF(G310="warding","Anti-Magical","Physical"))))</f>
        <v/>
      </c>
    </row>
    <row r="311">
      <c r="J311">
        <f>IF(G311="","",IFERROR(IF(G311="infusing",IFERROR(LOOKUP(2,1/ISNUMBER(SEARCH(_lookup!$D$3:$D$4,H311)),_lookup!$E$3:$E$4),"INT"),VLOOKUP(G311,_lookup!$A$3:$B$14,2,FALSE)),""))</f>
        <v/>
      </c>
      <c r="K311">
        <f>IF(F311&lt;&gt;"weapon","",IF(G311="miscellaneous","1-4",IF(I311="","",IFERROR(VLOOKUP(I311&amp;"|"&amp;IF(LEFT(H311,2)="2H",2,1)&amp;"|"&amp;IF(G311="slashing",1,0),_lookup!$G$3:$H$18,2,FALSE),""))))</f>
        <v/>
      </c>
      <c r="L311">
        <f>IF(K311="","",IF(OR(G311="channeling",G311="infusing"),"Magical",IF(G311="blocking","Anti-Physical",IF(G311="warding","Anti-Magical","Physical"))))</f>
        <v/>
      </c>
      <c r="O311">
        <f>IF(F311&lt;&gt;"armor","","TBD")</f>
        <v/>
      </c>
      <c r="P311">
        <f>IF(O311="","",IF(OR(G311="channeling",G311="infusing"),"Magical",IF(G311="blocking","Anti-Physical",IF(G311="warding","Anti-Magical","Physical"))))</f>
        <v/>
      </c>
    </row>
    <row r="312">
      <c r="J312">
        <f>IF(G312="","",IFERROR(IF(G312="infusing",IFERROR(LOOKUP(2,1/ISNUMBER(SEARCH(_lookup!$D$3:$D$4,H312)),_lookup!$E$3:$E$4),"INT"),VLOOKUP(G312,_lookup!$A$3:$B$14,2,FALSE)),""))</f>
        <v/>
      </c>
      <c r="K312">
        <f>IF(F312&lt;&gt;"weapon","",IF(G312="miscellaneous","1-4",IF(I312="","",IFERROR(VLOOKUP(I312&amp;"|"&amp;IF(LEFT(H312,2)="2H",2,1)&amp;"|"&amp;IF(G312="slashing",1,0),_lookup!$G$3:$H$18,2,FALSE),""))))</f>
        <v/>
      </c>
      <c r="L312">
        <f>IF(K312="","",IF(OR(G312="channeling",G312="infusing"),"Magical",IF(G312="blocking","Anti-Physical",IF(G312="warding","Anti-Magical","Physical"))))</f>
        <v/>
      </c>
      <c r="O312">
        <f>IF(F312&lt;&gt;"armor","","TBD")</f>
        <v/>
      </c>
      <c r="P312">
        <f>IF(O312="","",IF(OR(G312="channeling",G312="infusing"),"Magical",IF(G312="blocking","Anti-Physical",IF(G312="warding","Anti-Magical","Physical"))))</f>
        <v/>
      </c>
    </row>
    <row r="313">
      <c r="J313">
        <f>IF(G313="","",IFERROR(IF(G313="infusing",IFERROR(LOOKUP(2,1/ISNUMBER(SEARCH(_lookup!$D$3:$D$4,H313)),_lookup!$E$3:$E$4),"INT"),VLOOKUP(G313,_lookup!$A$3:$B$14,2,FALSE)),""))</f>
        <v/>
      </c>
      <c r="K313">
        <f>IF(F313&lt;&gt;"weapon","",IF(G313="miscellaneous","1-4",IF(I313="","",IFERROR(VLOOKUP(I313&amp;"|"&amp;IF(LEFT(H313,2)="2H",2,1)&amp;"|"&amp;IF(G313="slashing",1,0),_lookup!$G$3:$H$18,2,FALSE),""))))</f>
        <v/>
      </c>
      <c r="L313">
        <f>IF(K313="","",IF(OR(G313="channeling",G313="infusing"),"Magical",IF(G313="blocking","Anti-Physical",IF(G313="warding","Anti-Magical","Physical"))))</f>
        <v/>
      </c>
      <c r="O313">
        <f>IF(F313&lt;&gt;"armor","","TBD")</f>
        <v/>
      </c>
      <c r="P313">
        <f>IF(O313="","",IF(OR(G313="channeling",G313="infusing"),"Magical",IF(G313="blocking","Anti-Physical",IF(G313="warding","Anti-Magical","Physical"))))</f>
        <v/>
      </c>
    </row>
    <row r="314">
      <c r="J314">
        <f>IF(G314="","",IFERROR(IF(G314="infusing",IFERROR(LOOKUP(2,1/ISNUMBER(SEARCH(_lookup!$D$3:$D$4,H314)),_lookup!$E$3:$E$4),"INT"),VLOOKUP(G314,_lookup!$A$3:$B$14,2,FALSE)),""))</f>
        <v/>
      </c>
      <c r="K314">
        <f>IF(F314&lt;&gt;"weapon","",IF(G314="miscellaneous","1-4",IF(I314="","",IFERROR(VLOOKUP(I314&amp;"|"&amp;IF(LEFT(H314,2)="2H",2,1)&amp;"|"&amp;IF(G314="slashing",1,0),_lookup!$G$3:$H$18,2,FALSE),""))))</f>
        <v/>
      </c>
      <c r="L314">
        <f>IF(K314="","",IF(OR(G314="channeling",G314="infusing"),"Magical",IF(G314="blocking","Anti-Physical",IF(G314="warding","Anti-Magical","Physical"))))</f>
        <v/>
      </c>
      <c r="O314">
        <f>IF(F314&lt;&gt;"armor","","TBD")</f>
        <v/>
      </c>
      <c r="P314">
        <f>IF(O314="","",IF(OR(G314="channeling",G314="infusing"),"Magical",IF(G314="blocking","Anti-Physical",IF(G314="warding","Anti-Magical","Physical"))))</f>
        <v/>
      </c>
    </row>
    <row r="315">
      <c r="J315">
        <f>IF(G315="","",IFERROR(IF(G315="infusing",IFERROR(LOOKUP(2,1/ISNUMBER(SEARCH(_lookup!$D$3:$D$4,H315)),_lookup!$E$3:$E$4),"INT"),VLOOKUP(G315,_lookup!$A$3:$B$14,2,FALSE)),""))</f>
        <v/>
      </c>
      <c r="K315">
        <f>IF(F315&lt;&gt;"weapon","",IF(G315="miscellaneous","1-4",IF(I315="","",IFERROR(VLOOKUP(I315&amp;"|"&amp;IF(LEFT(H315,2)="2H",2,1)&amp;"|"&amp;IF(G315="slashing",1,0),_lookup!$G$3:$H$18,2,FALSE),""))))</f>
        <v/>
      </c>
      <c r="L315">
        <f>IF(K315="","",IF(OR(G315="channeling",G315="infusing"),"Magical",IF(G315="blocking","Anti-Physical",IF(G315="warding","Anti-Magical","Physical"))))</f>
        <v/>
      </c>
      <c r="O315">
        <f>IF(F315&lt;&gt;"armor","","TBD")</f>
        <v/>
      </c>
      <c r="P315">
        <f>IF(O315="","",IF(OR(G315="channeling",G315="infusing"),"Magical",IF(G315="blocking","Anti-Physical",IF(G315="warding","Anti-Magical","Physical"))))</f>
        <v/>
      </c>
    </row>
    <row r="316">
      <c r="J316">
        <f>IF(G316="","",IFERROR(IF(G316="infusing",IFERROR(LOOKUP(2,1/ISNUMBER(SEARCH(_lookup!$D$3:$D$4,H316)),_lookup!$E$3:$E$4),"INT"),VLOOKUP(G316,_lookup!$A$3:$B$14,2,FALSE)),""))</f>
        <v/>
      </c>
      <c r="K316">
        <f>IF(F316&lt;&gt;"weapon","",IF(G316="miscellaneous","1-4",IF(I316="","",IFERROR(VLOOKUP(I316&amp;"|"&amp;IF(LEFT(H316,2)="2H",2,1)&amp;"|"&amp;IF(G316="slashing",1,0),_lookup!$G$3:$H$18,2,FALSE),""))))</f>
        <v/>
      </c>
      <c r="L316">
        <f>IF(K316="","",IF(OR(G316="channeling",G316="infusing"),"Magical",IF(G316="blocking","Anti-Physical",IF(G316="warding","Anti-Magical","Physical"))))</f>
        <v/>
      </c>
      <c r="O316">
        <f>IF(F316&lt;&gt;"armor","","TBD")</f>
        <v/>
      </c>
      <c r="P316">
        <f>IF(O316="","",IF(OR(G316="channeling",G316="infusing"),"Magical",IF(G316="blocking","Anti-Physical",IF(G316="warding","Anti-Magical","Physical"))))</f>
        <v/>
      </c>
    </row>
    <row r="317">
      <c r="J317">
        <f>IF(G317="","",IFERROR(IF(G317="infusing",IFERROR(LOOKUP(2,1/ISNUMBER(SEARCH(_lookup!$D$3:$D$4,H317)),_lookup!$E$3:$E$4),"INT"),VLOOKUP(G317,_lookup!$A$3:$B$14,2,FALSE)),""))</f>
        <v/>
      </c>
      <c r="K317">
        <f>IF(F317&lt;&gt;"weapon","",IF(G317="miscellaneous","1-4",IF(I317="","",IFERROR(VLOOKUP(I317&amp;"|"&amp;IF(LEFT(H317,2)="2H",2,1)&amp;"|"&amp;IF(G317="slashing",1,0),_lookup!$G$3:$H$18,2,FALSE),""))))</f>
        <v/>
      </c>
      <c r="L317">
        <f>IF(K317="","",IF(OR(G317="channeling",G317="infusing"),"Magical",IF(G317="blocking","Anti-Physical",IF(G317="warding","Anti-Magical","Physical"))))</f>
        <v/>
      </c>
      <c r="O317">
        <f>IF(F317&lt;&gt;"armor","","TBD")</f>
        <v/>
      </c>
      <c r="P317">
        <f>IF(O317="","",IF(OR(G317="channeling",G317="infusing"),"Magical",IF(G317="blocking","Anti-Physical",IF(G317="warding","Anti-Magical","Physical"))))</f>
        <v/>
      </c>
    </row>
    <row r="318">
      <c r="J318">
        <f>IF(G318="","",IFERROR(IF(G318="infusing",IFERROR(LOOKUP(2,1/ISNUMBER(SEARCH(_lookup!$D$3:$D$4,H318)),_lookup!$E$3:$E$4),"INT"),VLOOKUP(G318,_lookup!$A$3:$B$14,2,FALSE)),""))</f>
        <v/>
      </c>
      <c r="K318">
        <f>IF(F318&lt;&gt;"weapon","",IF(G318="miscellaneous","1-4",IF(I318="","",IFERROR(VLOOKUP(I318&amp;"|"&amp;IF(LEFT(H318,2)="2H",2,1)&amp;"|"&amp;IF(G318="slashing",1,0),_lookup!$G$3:$H$18,2,FALSE),""))))</f>
        <v/>
      </c>
      <c r="L318">
        <f>IF(K318="","",IF(OR(G318="channeling",G318="infusing"),"Magical",IF(G318="blocking","Anti-Physical",IF(G318="warding","Anti-Magical","Physical"))))</f>
        <v/>
      </c>
      <c r="O318">
        <f>IF(F318&lt;&gt;"armor","","TBD")</f>
        <v/>
      </c>
      <c r="P318">
        <f>IF(O318="","",IF(OR(G318="channeling",G318="infusing"),"Magical",IF(G318="blocking","Anti-Physical",IF(G318="warding","Anti-Magical","Physical"))))</f>
        <v/>
      </c>
    </row>
    <row r="319">
      <c r="J319">
        <f>IF(G319="","",IFERROR(IF(G319="infusing",IFERROR(LOOKUP(2,1/ISNUMBER(SEARCH(_lookup!$D$3:$D$4,H319)),_lookup!$E$3:$E$4),"INT"),VLOOKUP(G319,_lookup!$A$3:$B$14,2,FALSE)),""))</f>
        <v/>
      </c>
      <c r="K319">
        <f>IF(F319&lt;&gt;"weapon","",IF(G319="miscellaneous","1-4",IF(I319="","",IFERROR(VLOOKUP(I319&amp;"|"&amp;IF(LEFT(H319,2)="2H",2,1)&amp;"|"&amp;IF(G319="slashing",1,0),_lookup!$G$3:$H$18,2,FALSE),""))))</f>
        <v/>
      </c>
      <c r="L319">
        <f>IF(K319="","",IF(OR(G319="channeling",G319="infusing"),"Magical",IF(G319="blocking","Anti-Physical",IF(G319="warding","Anti-Magical","Physical"))))</f>
        <v/>
      </c>
      <c r="O319">
        <f>IF(F319&lt;&gt;"armor","","TBD")</f>
        <v/>
      </c>
      <c r="P319">
        <f>IF(O319="","",IF(OR(G319="channeling",G319="infusing"),"Magical",IF(G319="blocking","Anti-Physical",IF(G319="warding","Anti-Magical","Physical"))))</f>
        <v/>
      </c>
    </row>
    <row r="320">
      <c r="J320">
        <f>IF(G320="","",IFERROR(IF(G320="infusing",IFERROR(LOOKUP(2,1/ISNUMBER(SEARCH(_lookup!$D$3:$D$4,H320)),_lookup!$E$3:$E$4),"INT"),VLOOKUP(G320,_lookup!$A$3:$B$14,2,FALSE)),""))</f>
        <v/>
      </c>
      <c r="K320">
        <f>IF(F320&lt;&gt;"weapon","",IF(G320="miscellaneous","1-4",IF(I320="","",IFERROR(VLOOKUP(I320&amp;"|"&amp;IF(LEFT(H320,2)="2H",2,1)&amp;"|"&amp;IF(G320="slashing",1,0),_lookup!$G$3:$H$18,2,FALSE),""))))</f>
        <v/>
      </c>
      <c r="L320">
        <f>IF(K320="","",IF(OR(G320="channeling",G320="infusing"),"Magical",IF(G320="blocking","Anti-Physical",IF(G320="warding","Anti-Magical","Physical"))))</f>
        <v/>
      </c>
      <c r="O320">
        <f>IF(F320&lt;&gt;"armor","","TBD")</f>
        <v/>
      </c>
      <c r="P320">
        <f>IF(O320="","",IF(OR(G320="channeling",G320="infusing"),"Magical",IF(G320="blocking","Anti-Physical",IF(G320="warding","Anti-Magical","Physical"))))</f>
        <v/>
      </c>
    </row>
    <row r="321">
      <c r="J321">
        <f>IF(G321="","",IFERROR(IF(G321="infusing",IFERROR(LOOKUP(2,1/ISNUMBER(SEARCH(_lookup!$D$3:$D$4,H321)),_lookup!$E$3:$E$4),"INT"),VLOOKUP(G321,_lookup!$A$3:$B$14,2,FALSE)),""))</f>
        <v/>
      </c>
      <c r="K321">
        <f>IF(F321&lt;&gt;"weapon","",IF(G321="miscellaneous","1-4",IF(I321="","",IFERROR(VLOOKUP(I321&amp;"|"&amp;IF(LEFT(H321,2)="2H",2,1)&amp;"|"&amp;IF(G321="slashing",1,0),_lookup!$G$3:$H$18,2,FALSE),""))))</f>
        <v/>
      </c>
      <c r="L321">
        <f>IF(K321="","",IF(OR(G321="channeling",G321="infusing"),"Magical",IF(G321="blocking","Anti-Physical",IF(G321="warding","Anti-Magical","Physical"))))</f>
        <v/>
      </c>
      <c r="O321">
        <f>IF(F321&lt;&gt;"armor","","TBD")</f>
        <v/>
      </c>
      <c r="P321">
        <f>IF(O321="","",IF(OR(G321="channeling",G321="infusing"),"Magical",IF(G321="blocking","Anti-Physical",IF(G321="warding","Anti-Magical","Physical"))))</f>
        <v/>
      </c>
    </row>
    <row r="322">
      <c r="J322">
        <f>IF(G322="","",IFERROR(IF(G322="infusing",IFERROR(LOOKUP(2,1/ISNUMBER(SEARCH(_lookup!$D$3:$D$4,H322)),_lookup!$E$3:$E$4),"INT"),VLOOKUP(G322,_lookup!$A$3:$B$14,2,FALSE)),""))</f>
        <v/>
      </c>
      <c r="K322">
        <f>IF(F322&lt;&gt;"weapon","",IF(G322="miscellaneous","1-4",IF(I322="","",IFERROR(VLOOKUP(I322&amp;"|"&amp;IF(LEFT(H322,2)="2H",2,1)&amp;"|"&amp;IF(G322="slashing",1,0),_lookup!$G$3:$H$18,2,FALSE),""))))</f>
        <v/>
      </c>
      <c r="L322">
        <f>IF(K322="","",IF(OR(G322="channeling",G322="infusing"),"Magical",IF(G322="blocking","Anti-Physical",IF(G322="warding","Anti-Magical","Physical"))))</f>
        <v/>
      </c>
      <c r="O322">
        <f>IF(F322&lt;&gt;"armor","","TBD")</f>
        <v/>
      </c>
      <c r="P322">
        <f>IF(O322="","",IF(OR(G322="channeling",G322="infusing"),"Magical",IF(G322="blocking","Anti-Physical",IF(G322="warding","Anti-Magical","Physical"))))</f>
        <v/>
      </c>
    </row>
    <row r="323">
      <c r="J323">
        <f>IF(G323="","",IFERROR(IF(G323="infusing",IFERROR(LOOKUP(2,1/ISNUMBER(SEARCH(_lookup!$D$3:$D$4,H323)),_lookup!$E$3:$E$4),"INT"),VLOOKUP(G323,_lookup!$A$3:$B$14,2,FALSE)),""))</f>
        <v/>
      </c>
      <c r="K323">
        <f>IF(F323&lt;&gt;"weapon","",IF(G323="miscellaneous","1-4",IF(I323="","",IFERROR(VLOOKUP(I323&amp;"|"&amp;IF(LEFT(H323,2)="2H",2,1)&amp;"|"&amp;IF(G323="slashing",1,0),_lookup!$G$3:$H$18,2,FALSE),""))))</f>
        <v/>
      </c>
      <c r="L323">
        <f>IF(K323="","",IF(OR(G323="channeling",G323="infusing"),"Magical",IF(G323="blocking","Anti-Physical",IF(G323="warding","Anti-Magical","Physical"))))</f>
        <v/>
      </c>
      <c r="O323">
        <f>IF(F323&lt;&gt;"armor","","TBD")</f>
        <v/>
      </c>
      <c r="P323">
        <f>IF(O323="","",IF(OR(G323="channeling",G323="infusing"),"Magical",IF(G323="blocking","Anti-Physical",IF(G323="warding","Anti-Magical","Physical"))))</f>
        <v/>
      </c>
    </row>
    <row r="324">
      <c r="J324">
        <f>IF(G324="","",IFERROR(IF(G324="infusing",IFERROR(LOOKUP(2,1/ISNUMBER(SEARCH(_lookup!$D$3:$D$4,H324)),_lookup!$E$3:$E$4),"INT"),VLOOKUP(G324,_lookup!$A$3:$B$14,2,FALSE)),""))</f>
        <v/>
      </c>
      <c r="K324">
        <f>IF(F324&lt;&gt;"weapon","",IF(G324="miscellaneous","1-4",IF(I324="","",IFERROR(VLOOKUP(I324&amp;"|"&amp;IF(LEFT(H324,2)="2H",2,1)&amp;"|"&amp;IF(G324="slashing",1,0),_lookup!$G$3:$H$18,2,FALSE),""))))</f>
        <v/>
      </c>
      <c r="L324">
        <f>IF(K324="","",IF(OR(G324="channeling",G324="infusing"),"Magical",IF(G324="blocking","Anti-Physical",IF(G324="warding","Anti-Magical","Physical"))))</f>
        <v/>
      </c>
      <c r="O324">
        <f>IF(F324&lt;&gt;"armor","","TBD")</f>
        <v/>
      </c>
      <c r="P324">
        <f>IF(O324="","",IF(OR(G324="channeling",G324="infusing"),"Magical",IF(G324="blocking","Anti-Physical",IF(G324="warding","Anti-Magical","Physical"))))</f>
        <v/>
      </c>
    </row>
    <row r="325">
      <c r="J325">
        <f>IF(G325="","",IFERROR(IF(G325="infusing",IFERROR(LOOKUP(2,1/ISNUMBER(SEARCH(_lookup!$D$3:$D$4,H325)),_lookup!$E$3:$E$4),"INT"),VLOOKUP(G325,_lookup!$A$3:$B$14,2,FALSE)),""))</f>
        <v/>
      </c>
      <c r="K325">
        <f>IF(F325&lt;&gt;"weapon","",IF(G325="miscellaneous","1-4",IF(I325="","",IFERROR(VLOOKUP(I325&amp;"|"&amp;IF(LEFT(H325,2)="2H",2,1)&amp;"|"&amp;IF(G325="slashing",1,0),_lookup!$G$3:$H$18,2,FALSE),""))))</f>
        <v/>
      </c>
      <c r="L325">
        <f>IF(K325="","",IF(OR(G325="channeling",G325="infusing"),"Magical",IF(G325="blocking","Anti-Physical",IF(G325="warding","Anti-Magical","Physical"))))</f>
        <v/>
      </c>
      <c r="O325">
        <f>IF(F325&lt;&gt;"armor","","TBD")</f>
        <v/>
      </c>
      <c r="P325">
        <f>IF(O325="","",IF(OR(G325="channeling",G325="infusing"),"Magical",IF(G325="blocking","Anti-Physical",IF(G325="warding","Anti-Magical","Physical"))))</f>
        <v/>
      </c>
    </row>
    <row r="326">
      <c r="J326">
        <f>IF(G326="","",IFERROR(IF(G326="infusing",IFERROR(LOOKUP(2,1/ISNUMBER(SEARCH(_lookup!$D$3:$D$4,H326)),_lookup!$E$3:$E$4),"INT"),VLOOKUP(G326,_lookup!$A$3:$B$14,2,FALSE)),""))</f>
        <v/>
      </c>
      <c r="K326">
        <f>IF(F326&lt;&gt;"weapon","",IF(G326="miscellaneous","1-4",IF(I326="","",IFERROR(VLOOKUP(I326&amp;"|"&amp;IF(LEFT(H326,2)="2H",2,1)&amp;"|"&amp;IF(G326="slashing",1,0),_lookup!$G$3:$H$18,2,FALSE),""))))</f>
        <v/>
      </c>
      <c r="L326">
        <f>IF(K326="","",IF(OR(G326="channeling",G326="infusing"),"Magical",IF(G326="blocking","Anti-Physical",IF(G326="warding","Anti-Magical","Physical"))))</f>
        <v/>
      </c>
      <c r="O326">
        <f>IF(F326&lt;&gt;"armor","","TBD")</f>
        <v/>
      </c>
      <c r="P326">
        <f>IF(O326="","",IF(OR(G326="channeling",G326="infusing"),"Magical",IF(G326="blocking","Anti-Physical",IF(G326="warding","Anti-Magical","Physical"))))</f>
        <v/>
      </c>
    </row>
    <row r="327">
      <c r="J327">
        <f>IF(G327="","",IFERROR(IF(G327="infusing",IFERROR(LOOKUP(2,1/ISNUMBER(SEARCH(_lookup!$D$3:$D$4,H327)),_lookup!$E$3:$E$4),"INT"),VLOOKUP(G327,_lookup!$A$3:$B$14,2,FALSE)),""))</f>
        <v/>
      </c>
      <c r="K327">
        <f>IF(F327&lt;&gt;"weapon","",IF(G327="miscellaneous","1-4",IF(I327="","",IFERROR(VLOOKUP(I327&amp;"|"&amp;IF(LEFT(H327,2)="2H",2,1)&amp;"|"&amp;IF(G327="slashing",1,0),_lookup!$G$3:$H$18,2,FALSE),""))))</f>
        <v/>
      </c>
      <c r="L327">
        <f>IF(K327="","",IF(OR(G327="channeling",G327="infusing"),"Magical",IF(G327="blocking","Anti-Physical",IF(G327="warding","Anti-Magical","Physical"))))</f>
        <v/>
      </c>
      <c r="O327">
        <f>IF(F327&lt;&gt;"armor","","TBD")</f>
        <v/>
      </c>
      <c r="P327">
        <f>IF(O327="","",IF(OR(G327="channeling",G327="infusing"),"Magical",IF(G327="blocking","Anti-Physical",IF(G327="warding","Anti-Magical","Physical"))))</f>
        <v/>
      </c>
    </row>
    <row r="328">
      <c r="J328">
        <f>IF(G328="","",IFERROR(IF(G328="infusing",IFERROR(LOOKUP(2,1/ISNUMBER(SEARCH(_lookup!$D$3:$D$4,H328)),_lookup!$E$3:$E$4),"INT"),VLOOKUP(G328,_lookup!$A$3:$B$14,2,FALSE)),""))</f>
        <v/>
      </c>
      <c r="K328">
        <f>IF(F328&lt;&gt;"weapon","",IF(G328="miscellaneous","1-4",IF(I328="","",IFERROR(VLOOKUP(I328&amp;"|"&amp;IF(LEFT(H328,2)="2H",2,1)&amp;"|"&amp;IF(G328="slashing",1,0),_lookup!$G$3:$H$18,2,FALSE),""))))</f>
        <v/>
      </c>
      <c r="L328">
        <f>IF(K328="","",IF(OR(G328="channeling",G328="infusing"),"Magical",IF(G328="blocking","Anti-Physical",IF(G328="warding","Anti-Magical","Physical"))))</f>
        <v/>
      </c>
      <c r="O328">
        <f>IF(F328&lt;&gt;"armor","","TBD")</f>
        <v/>
      </c>
      <c r="P328">
        <f>IF(O328="","",IF(OR(G328="channeling",G328="infusing"),"Magical",IF(G328="blocking","Anti-Physical",IF(G328="warding","Anti-Magical","Physical"))))</f>
        <v/>
      </c>
    </row>
    <row r="329">
      <c r="J329">
        <f>IF(G329="","",IFERROR(IF(G329="infusing",IFERROR(LOOKUP(2,1/ISNUMBER(SEARCH(_lookup!$D$3:$D$4,H329)),_lookup!$E$3:$E$4),"INT"),VLOOKUP(G329,_lookup!$A$3:$B$14,2,FALSE)),""))</f>
        <v/>
      </c>
      <c r="K329">
        <f>IF(F329&lt;&gt;"weapon","",IF(G329="miscellaneous","1-4",IF(I329="","",IFERROR(VLOOKUP(I329&amp;"|"&amp;IF(LEFT(H329,2)="2H",2,1)&amp;"|"&amp;IF(G329="slashing",1,0),_lookup!$G$3:$H$18,2,FALSE),""))))</f>
        <v/>
      </c>
      <c r="L329">
        <f>IF(K329="","",IF(OR(G329="channeling",G329="infusing"),"Magical",IF(G329="blocking","Anti-Physical",IF(G329="warding","Anti-Magical","Physical"))))</f>
        <v/>
      </c>
      <c r="O329">
        <f>IF(F329&lt;&gt;"armor","","TBD")</f>
        <v/>
      </c>
      <c r="P329">
        <f>IF(O329="","",IF(OR(G329="channeling",G329="infusing"),"Magical",IF(G329="blocking","Anti-Physical",IF(G329="warding","Anti-Magical","Physical"))))</f>
        <v/>
      </c>
    </row>
    <row r="330">
      <c r="J330">
        <f>IF(G330="","",IFERROR(IF(G330="infusing",IFERROR(LOOKUP(2,1/ISNUMBER(SEARCH(_lookup!$D$3:$D$4,H330)),_lookup!$E$3:$E$4),"INT"),VLOOKUP(G330,_lookup!$A$3:$B$14,2,FALSE)),""))</f>
        <v/>
      </c>
      <c r="K330">
        <f>IF(F330&lt;&gt;"weapon","",IF(G330="miscellaneous","1-4",IF(I330="","",IFERROR(VLOOKUP(I330&amp;"|"&amp;IF(LEFT(H330,2)="2H",2,1)&amp;"|"&amp;IF(G330="slashing",1,0),_lookup!$G$3:$H$18,2,FALSE),""))))</f>
        <v/>
      </c>
      <c r="L330">
        <f>IF(K330="","",IF(OR(G330="channeling",G330="infusing"),"Magical",IF(G330="blocking","Anti-Physical",IF(G330="warding","Anti-Magical","Physical"))))</f>
        <v/>
      </c>
      <c r="O330">
        <f>IF(F330&lt;&gt;"armor","","TBD")</f>
        <v/>
      </c>
      <c r="P330">
        <f>IF(O330="","",IF(OR(G330="channeling",G330="infusing"),"Magical",IF(G330="blocking","Anti-Physical",IF(G330="warding","Anti-Magical","Physical"))))</f>
        <v/>
      </c>
    </row>
    <row r="331">
      <c r="J331">
        <f>IF(G331="","",IFERROR(IF(G331="infusing",IFERROR(LOOKUP(2,1/ISNUMBER(SEARCH(_lookup!$D$3:$D$4,H331)),_lookup!$E$3:$E$4),"INT"),VLOOKUP(G331,_lookup!$A$3:$B$14,2,FALSE)),""))</f>
        <v/>
      </c>
      <c r="K331">
        <f>IF(F331&lt;&gt;"weapon","",IF(G331="miscellaneous","1-4",IF(I331="","",IFERROR(VLOOKUP(I331&amp;"|"&amp;IF(LEFT(H331,2)="2H",2,1)&amp;"|"&amp;IF(G331="slashing",1,0),_lookup!$G$3:$H$18,2,FALSE),""))))</f>
        <v/>
      </c>
      <c r="L331">
        <f>IF(K331="","",IF(OR(G331="channeling",G331="infusing"),"Magical",IF(G331="blocking","Anti-Physical",IF(G331="warding","Anti-Magical","Physical"))))</f>
        <v/>
      </c>
      <c r="O331">
        <f>IF(F331&lt;&gt;"armor","","TBD")</f>
        <v/>
      </c>
      <c r="P331">
        <f>IF(O331="","",IF(OR(G331="channeling",G331="infusing"),"Magical",IF(G331="blocking","Anti-Physical",IF(G331="warding","Anti-Magical","Physical"))))</f>
        <v/>
      </c>
    </row>
    <row r="332">
      <c r="J332">
        <f>IF(G332="","",IFERROR(IF(G332="infusing",IFERROR(LOOKUP(2,1/ISNUMBER(SEARCH(_lookup!$D$3:$D$4,H332)),_lookup!$E$3:$E$4),"INT"),VLOOKUP(G332,_lookup!$A$3:$B$14,2,FALSE)),""))</f>
        <v/>
      </c>
      <c r="K332">
        <f>IF(F332&lt;&gt;"weapon","",IF(G332="miscellaneous","1-4",IF(I332="","",IFERROR(VLOOKUP(I332&amp;"|"&amp;IF(LEFT(H332,2)="2H",2,1)&amp;"|"&amp;IF(G332="slashing",1,0),_lookup!$G$3:$H$18,2,FALSE),""))))</f>
        <v/>
      </c>
      <c r="L332">
        <f>IF(K332="","",IF(OR(G332="channeling",G332="infusing"),"Magical",IF(G332="blocking","Anti-Physical",IF(G332="warding","Anti-Magical","Physical"))))</f>
        <v/>
      </c>
      <c r="O332">
        <f>IF(F332&lt;&gt;"armor","","TBD")</f>
        <v/>
      </c>
      <c r="P332">
        <f>IF(O332="","",IF(OR(G332="channeling",G332="infusing"),"Magical",IF(G332="blocking","Anti-Physical",IF(G332="warding","Anti-Magical","Physical"))))</f>
        <v/>
      </c>
    </row>
    <row r="333">
      <c r="J333">
        <f>IF(G333="","",IFERROR(IF(G333="infusing",IFERROR(LOOKUP(2,1/ISNUMBER(SEARCH(_lookup!$D$3:$D$4,H333)),_lookup!$E$3:$E$4),"INT"),VLOOKUP(G333,_lookup!$A$3:$B$14,2,FALSE)),""))</f>
        <v/>
      </c>
      <c r="K333">
        <f>IF(F333&lt;&gt;"weapon","",IF(G333="miscellaneous","1-4",IF(I333="","",IFERROR(VLOOKUP(I333&amp;"|"&amp;IF(LEFT(H333,2)="2H",2,1)&amp;"|"&amp;IF(G333="slashing",1,0),_lookup!$G$3:$H$18,2,FALSE),""))))</f>
        <v/>
      </c>
      <c r="L333">
        <f>IF(K333="","",IF(OR(G333="channeling",G333="infusing"),"Magical",IF(G333="blocking","Anti-Physical",IF(G333="warding","Anti-Magical","Physical"))))</f>
        <v/>
      </c>
      <c r="O333">
        <f>IF(F333&lt;&gt;"armor","","TBD")</f>
        <v/>
      </c>
      <c r="P333">
        <f>IF(O333="","",IF(OR(G333="channeling",G333="infusing"),"Magical",IF(G333="blocking","Anti-Physical",IF(G333="warding","Anti-Magical","Physical"))))</f>
        <v/>
      </c>
    </row>
    <row r="334">
      <c r="J334">
        <f>IF(G334="","",IFERROR(IF(G334="infusing",IFERROR(LOOKUP(2,1/ISNUMBER(SEARCH(_lookup!$D$3:$D$4,H334)),_lookup!$E$3:$E$4),"INT"),VLOOKUP(G334,_lookup!$A$3:$B$14,2,FALSE)),""))</f>
        <v/>
      </c>
      <c r="K334">
        <f>IF(F334&lt;&gt;"weapon","",IF(G334="miscellaneous","1-4",IF(I334="","",IFERROR(VLOOKUP(I334&amp;"|"&amp;IF(LEFT(H334,2)="2H",2,1)&amp;"|"&amp;IF(G334="slashing",1,0),_lookup!$G$3:$H$18,2,FALSE),""))))</f>
        <v/>
      </c>
      <c r="L334">
        <f>IF(K334="","",IF(OR(G334="channeling",G334="infusing"),"Magical",IF(G334="blocking","Anti-Physical",IF(G334="warding","Anti-Magical","Physical"))))</f>
        <v/>
      </c>
      <c r="O334">
        <f>IF(F334&lt;&gt;"armor","","TBD")</f>
        <v/>
      </c>
      <c r="P334">
        <f>IF(O334="","",IF(OR(G334="channeling",G334="infusing"),"Magical",IF(G334="blocking","Anti-Physical",IF(G334="warding","Anti-Magical","Physical"))))</f>
        <v/>
      </c>
    </row>
    <row r="335">
      <c r="J335">
        <f>IF(G335="","",IFERROR(IF(G335="infusing",IFERROR(LOOKUP(2,1/ISNUMBER(SEARCH(_lookup!$D$3:$D$4,H335)),_lookup!$E$3:$E$4),"INT"),VLOOKUP(G335,_lookup!$A$3:$B$14,2,FALSE)),""))</f>
        <v/>
      </c>
      <c r="K335">
        <f>IF(F335&lt;&gt;"weapon","",IF(G335="miscellaneous","1-4",IF(I335="","",IFERROR(VLOOKUP(I335&amp;"|"&amp;IF(LEFT(H335,2)="2H",2,1)&amp;"|"&amp;IF(G335="slashing",1,0),_lookup!$G$3:$H$18,2,FALSE),""))))</f>
        <v/>
      </c>
      <c r="L335">
        <f>IF(K335="","",IF(OR(G335="channeling",G335="infusing"),"Magical",IF(G335="blocking","Anti-Physical",IF(G335="warding","Anti-Magical","Physical"))))</f>
        <v/>
      </c>
      <c r="O335">
        <f>IF(F335&lt;&gt;"armor","","TBD")</f>
        <v/>
      </c>
      <c r="P335">
        <f>IF(O335="","",IF(OR(G335="channeling",G335="infusing"),"Magical",IF(G335="blocking","Anti-Physical",IF(G335="warding","Anti-Magical","Physical"))))</f>
        <v/>
      </c>
    </row>
    <row r="336">
      <c r="J336">
        <f>IF(G336="","",IFERROR(IF(G336="infusing",IFERROR(LOOKUP(2,1/ISNUMBER(SEARCH(_lookup!$D$3:$D$4,H336)),_lookup!$E$3:$E$4),"INT"),VLOOKUP(G336,_lookup!$A$3:$B$14,2,FALSE)),""))</f>
        <v/>
      </c>
      <c r="K336">
        <f>IF(F336&lt;&gt;"weapon","",IF(G336="miscellaneous","1-4",IF(I336="","",IFERROR(VLOOKUP(I336&amp;"|"&amp;IF(LEFT(H336,2)="2H",2,1)&amp;"|"&amp;IF(G336="slashing",1,0),_lookup!$G$3:$H$18,2,FALSE),""))))</f>
        <v/>
      </c>
      <c r="L336">
        <f>IF(K336="","",IF(OR(G336="channeling",G336="infusing"),"Magical",IF(G336="blocking","Anti-Physical",IF(G336="warding","Anti-Magical","Physical"))))</f>
        <v/>
      </c>
      <c r="O336">
        <f>IF(F336&lt;&gt;"armor","","TBD")</f>
        <v/>
      </c>
      <c r="P336">
        <f>IF(O336="","",IF(OR(G336="channeling",G336="infusing"),"Magical",IF(G336="blocking","Anti-Physical",IF(G336="warding","Anti-Magical","Physical"))))</f>
        <v/>
      </c>
    </row>
    <row r="337">
      <c r="J337">
        <f>IF(G337="","",IFERROR(IF(G337="infusing",IFERROR(LOOKUP(2,1/ISNUMBER(SEARCH(_lookup!$D$3:$D$4,H337)),_lookup!$E$3:$E$4),"INT"),VLOOKUP(G337,_lookup!$A$3:$B$14,2,FALSE)),""))</f>
        <v/>
      </c>
      <c r="K337">
        <f>IF(F337&lt;&gt;"weapon","",IF(G337="miscellaneous","1-4",IF(I337="","",IFERROR(VLOOKUP(I337&amp;"|"&amp;IF(LEFT(H337,2)="2H",2,1)&amp;"|"&amp;IF(G337="slashing",1,0),_lookup!$G$3:$H$18,2,FALSE),""))))</f>
        <v/>
      </c>
      <c r="L337">
        <f>IF(K337="","",IF(OR(G337="channeling",G337="infusing"),"Magical",IF(G337="blocking","Anti-Physical",IF(G337="warding","Anti-Magical","Physical"))))</f>
        <v/>
      </c>
      <c r="O337">
        <f>IF(F337&lt;&gt;"armor","","TBD")</f>
        <v/>
      </c>
      <c r="P337">
        <f>IF(O337="","",IF(OR(G337="channeling",G337="infusing"),"Magical",IF(G337="blocking","Anti-Physical",IF(G337="warding","Anti-Magical","Physical"))))</f>
        <v/>
      </c>
    </row>
    <row r="338">
      <c r="J338">
        <f>IF(G338="","",IFERROR(IF(G338="infusing",IFERROR(LOOKUP(2,1/ISNUMBER(SEARCH(_lookup!$D$3:$D$4,H338)),_lookup!$E$3:$E$4),"INT"),VLOOKUP(G338,_lookup!$A$3:$B$14,2,FALSE)),""))</f>
        <v/>
      </c>
      <c r="K338">
        <f>IF(F338&lt;&gt;"weapon","",IF(G338="miscellaneous","1-4",IF(I338="","",IFERROR(VLOOKUP(I338&amp;"|"&amp;IF(LEFT(H338,2)="2H",2,1)&amp;"|"&amp;IF(G338="slashing",1,0),_lookup!$G$3:$H$18,2,FALSE),""))))</f>
        <v/>
      </c>
      <c r="L338">
        <f>IF(K338="","",IF(OR(G338="channeling",G338="infusing"),"Magical",IF(G338="blocking","Anti-Physical",IF(G338="warding","Anti-Magical","Physical"))))</f>
        <v/>
      </c>
      <c r="O338">
        <f>IF(F338&lt;&gt;"armor","","TBD")</f>
        <v/>
      </c>
      <c r="P338">
        <f>IF(O338="","",IF(OR(G338="channeling",G338="infusing"),"Magical",IF(G338="blocking","Anti-Physical",IF(G338="warding","Anti-Magical","Physical"))))</f>
        <v/>
      </c>
    </row>
    <row r="339">
      <c r="J339">
        <f>IF(G339="","",IFERROR(IF(G339="infusing",IFERROR(LOOKUP(2,1/ISNUMBER(SEARCH(_lookup!$D$3:$D$4,H339)),_lookup!$E$3:$E$4),"INT"),VLOOKUP(G339,_lookup!$A$3:$B$14,2,FALSE)),""))</f>
        <v/>
      </c>
      <c r="K339">
        <f>IF(F339&lt;&gt;"weapon","",IF(G339="miscellaneous","1-4",IF(I339="","",IFERROR(VLOOKUP(I339&amp;"|"&amp;IF(LEFT(H339,2)="2H",2,1)&amp;"|"&amp;IF(G339="slashing",1,0),_lookup!$G$3:$H$18,2,FALSE),""))))</f>
        <v/>
      </c>
      <c r="L339">
        <f>IF(K339="","",IF(OR(G339="channeling",G339="infusing"),"Magical",IF(G339="blocking","Anti-Physical",IF(G339="warding","Anti-Magical","Physical"))))</f>
        <v/>
      </c>
      <c r="O339">
        <f>IF(F339&lt;&gt;"armor","","TBD")</f>
        <v/>
      </c>
      <c r="P339">
        <f>IF(O339="","",IF(OR(G339="channeling",G339="infusing"),"Magical",IF(G339="blocking","Anti-Physical",IF(G339="warding","Anti-Magical","Physical"))))</f>
        <v/>
      </c>
    </row>
    <row r="340">
      <c r="J340">
        <f>IF(G340="","",IFERROR(IF(G340="infusing",IFERROR(LOOKUP(2,1/ISNUMBER(SEARCH(_lookup!$D$3:$D$4,H340)),_lookup!$E$3:$E$4),"INT"),VLOOKUP(G340,_lookup!$A$3:$B$14,2,FALSE)),""))</f>
        <v/>
      </c>
      <c r="K340">
        <f>IF(F340&lt;&gt;"weapon","",IF(G340="miscellaneous","1-4",IF(I340="","",IFERROR(VLOOKUP(I340&amp;"|"&amp;IF(LEFT(H340,2)="2H",2,1)&amp;"|"&amp;IF(G340="slashing",1,0),_lookup!$G$3:$H$18,2,FALSE),""))))</f>
        <v/>
      </c>
      <c r="L340">
        <f>IF(K340="","",IF(OR(G340="channeling",G340="infusing"),"Magical",IF(G340="blocking","Anti-Physical",IF(G340="warding","Anti-Magical","Physical"))))</f>
        <v/>
      </c>
      <c r="O340">
        <f>IF(F340&lt;&gt;"armor","","TBD")</f>
        <v/>
      </c>
      <c r="P340">
        <f>IF(O340="","",IF(OR(G340="channeling",G340="infusing"),"Magical",IF(G340="blocking","Anti-Physical",IF(G340="warding","Anti-Magical","Physical"))))</f>
        <v/>
      </c>
    </row>
    <row r="341">
      <c r="J341">
        <f>IF(G341="","",IFERROR(IF(G341="infusing",IFERROR(LOOKUP(2,1/ISNUMBER(SEARCH(_lookup!$D$3:$D$4,H341)),_lookup!$E$3:$E$4),"INT"),VLOOKUP(G341,_lookup!$A$3:$B$14,2,FALSE)),""))</f>
        <v/>
      </c>
      <c r="K341">
        <f>IF(F341&lt;&gt;"weapon","",IF(G341="miscellaneous","1-4",IF(I341="","",IFERROR(VLOOKUP(I341&amp;"|"&amp;IF(LEFT(H341,2)="2H",2,1)&amp;"|"&amp;IF(G341="slashing",1,0),_lookup!$G$3:$H$18,2,FALSE),""))))</f>
        <v/>
      </c>
      <c r="L341">
        <f>IF(K341="","",IF(OR(G341="channeling",G341="infusing"),"Magical",IF(G341="blocking","Anti-Physical",IF(G341="warding","Anti-Magical","Physical"))))</f>
        <v/>
      </c>
      <c r="O341">
        <f>IF(F341&lt;&gt;"armor","","TBD")</f>
        <v/>
      </c>
      <c r="P341">
        <f>IF(O341="","",IF(OR(G341="channeling",G341="infusing"),"Magical",IF(G341="blocking","Anti-Physical",IF(G341="warding","Anti-Magical","Physical"))))</f>
        <v/>
      </c>
    </row>
    <row r="342">
      <c r="J342">
        <f>IF(G342="","",IFERROR(IF(G342="infusing",IFERROR(LOOKUP(2,1/ISNUMBER(SEARCH(_lookup!$D$3:$D$4,H342)),_lookup!$E$3:$E$4),"INT"),VLOOKUP(G342,_lookup!$A$3:$B$14,2,FALSE)),""))</f>
        <v/>
      </c>
      <c r="K342">
        <f>IF(F342&lt;&gt;"weapon","",IF(G342="miscellaneous","1-4",IF(I342="","",IFERROR(VLOOKUP(I342&amp;"|"&amp;IF(LEFT(H342,2)="2H",2,1)&amp;"|"&amp;IF(G342="slashing",1,0),_lookup!$G$3:$H$18,2,FALSE),""))))</f>
        <v/>
      </c>
      <c r="L342">
        <f>IF(K342="","",IF(OR(G342="channeling",G342="infusing"),"Magical",IF(G342="blocking","Anti-Physical",IF(G342="warding","Anti-Magical","Physical"))))</f>
        <v/>
      </c>
      <c r="O342">
        <f>IF(F342&lt;&gt;"armor","","TBD")</f>
        <v/>
      </c>
      <c r="P342">
        <f>IF(O342="","",IF(OR(G342="channeling",G342="infusing"),"Magical",IF(G342="blocking","Anti-Physical",IF(G342="warding","Anti-Magical","Physical"))))</f>
        <v/>
      </c>
    </row>
    <row r="343">
      <c r="J343">
        <f>IF(G343="","",IFERROR(IF(G343="infusing",IFERROR(LOOKUP(2,1/ISNUMBER(SEARCH(_lookup!$D$3:$D$4,H343)),_lookup!$E$3:$E$4),"INT"),VLOOKUP(G343,_lookup!$A$3:$B$14,2,FALSE)),""))</f>
        <v/>
      </c>
      <c r="K343">
        <f>IF(F343&lt;&gt;"weapon","",IF(G343="miscellaneous","1-4",IF(I343="","",IFERROR(VLOOKUP(I343&amp;"|"&amp;IF(LEFT(H343,2)="2H",2,1)&amp;"|"&amp;IF(G343="slashing",1,0),_lookup!$G$3:$H$18,2,FALSE),""))))</f>
        <v/>
      </c>
      <c r="L343">
        <f>IF(K343="","",IF(OR(G343="channeling",G343="infusing"),"Magical",IF(G343="blocking","Anti-Physical",IF(G343="warding","Anti-Magical","Physical"))))</f>
        <v/>
      </c>
      <c r="O343">
        <f>IF(F343&lt;&gt;"armor","","TBD")</f>
        <v/>
      </c>
      <c r="P343">
        <f>IF(O343="","",IF(OR(G343="channeling",G343="infusing"),"Magical",IF(G343="blocking","Anti-Physical",IF(G343="warding","Anti-Magical","Physical"))))</f>
        <v/>
      </c>
    </row>
    <row r="344">
      <c r="J344">
        <f>IF(G344="","",IFERROR(IF(G344="infusing",IFERROR(LOOKUP(2,1/ISNUMBER(SEARCH(_lookup!$D$3:$D$4,H344)),_lookup!$E$3:$E$4),"INT"),VLOOKUP(G344,_lookup!$A$3:$B$14,2,FALSE)),""))</f>
        <v/>
      </c>
      <c r="K344">
        <f>IF(F344&lt;&gt;"weapon","",IF(G344="miscellaneous","1-4",IF(I344="","",IFERROR(VLOOKUP(I344&amp;"|"&amp;IF(LEFT(H344,2)="2H",2,1)&amp;"|"&amp;IF(G344="slashing",1,0),_lookup!$G$3:$H$18,2,FALSE),""))))</f>
        <v/>
      </c>
      <c r="L344">
        <f>IF(K344="","",IF(OR(G344="channeling",G344="infusing"),"Magical",IF(G344="blocking","Anti-Physical",IF(G344="warding","Anti-Magical","Physical"))))</f>
        <v/>
      </c>
      <c r="O344">
        <f>IF(F344&lt;&gt;"armor","","TBD")</f>
        <v/>
      </c>
      <c r="P344">
        <f>IF(O344="","",IF(OR(G344="channeling",G344="infusing"),"Magical",IF(G344="blocking","Anti-Physical",IF(G344="warding","Anti-Magical","Physical"))))</f>
        <v/>
      </c>
    </row>
    <row r="345">
      <c r="J345">
        <f>IF(G345="","",IFERROR(IF(G345="infusing",IFERROR(LOOKUP(2,1/ISNUMBER(SEARCH(_lookup!$D$3:$D$4,H345)),_lookup!$E$3:$E$4),"INT"),VLOOKUP(G345,_lookup!$A$3:$B$14,2,FALSE)),""))</f>
        <v/>
      </c>
      <c r="K345">
        <f>IF(F345&lt;&gt;"weapon","",IF(G345="miscellaneous","1-4",IF(I345="","",IFERROR(VLOOKUP(I345&amp;"|"&amp;IF(LEFT(H345,2)="2H",2,1)&amp;"|"&amp;IF(G345="slashing",1,0),_lookup!$G$3:$H$18,2,FALSE),""))))</f>
        <v/>
      </c>
      <c r="L345">
        <f>IF(K345="","",IF(OR(G345="channeling",G345="infusing"),"Magical",IF(G345="blocking","Anti-Physical",IF(G345="warding","Anti-Magical","Physical"))))</f>
        <v/>
      </c>
      <c r="O345">
        <f>IF(F345&lt;&gt;"armor","","TBD")</f>
        <v/>
      </c>
      <c r="P345">
        <f>IF(O345="","",IF(OR(G345="channeling",G345="infusing"),"Magical",IF(G345="blocking","Anti-Physical",IF(G345="warding","Anti-Magical","Physical"))))</f>
        <v/>
      </c>
    </row>
    <row r="346">
      <c r="J346">
        <f>IF(G346="","",IFERROR(IF(G346="infusing",IFERROR(LOOKUP(2,1/ISNUMBER(SEARCH(_lookup!$D$3:$D$4,H346)),_lookup!$E$3:$E$4),"INT"),VLOOKUP(G346,_lookup!$A$3:$B$14,2,FALSE)),""))</f>
        <v/>
      </c>
      <c r="K346">
        <f>IF(F346&lt;&gt;"weapon","",IF(G346="miscellaneous","1-4",IF(I346="","",IFERROR(VLOOKUP(I346&amp;"|"&amp;IF(LEFT(H346,2)="2H",2,1)&amp;"|"&amp;IF(G346="slashing",1,0),_lookup!$G$3:$H$18,2,FALSE),""))))</f>
        <v/>
      </c>
      <c r="L346">
        <f>IF(K346="","",IF(OR(G346="channeling",G346="infusing"),"Magical",IF(G346="blocking","Anti-Physical",IF(G346="warding","Anti-Magical","Physical"))))</f>
        <v/>
      </c>
      <c r="O346">
        <f>IF(F346&lt;&gt;"armor","","TBD")</f>
        <v/>
      </c>
      <c r="P346">
        <f>IF(O346="","",IF(OR(G346="channeling",G346="infusing"),"Magical",IF(G346="blocking","Anti-Physical",IF(G346="warding","Anti-Magical","Physical"))))</f>
        <v/>
      </c>
    </row>
    <row r="347">
      <c r="J347">
        <f>IF(G347="","",IFERROR(IF(G347="infusing",IFERROR(LOOKUP(2,1/ISNUMBER(SEARCH(_lookup!$D$3:$D$4,H347)),_lookup!$E$3:$E$4),"INT"),VLOOKUP(G347,_lookup!$A$3:$B$14,2,FALSE)),""))</f>
        <v/>
      </c>
      <c r="K347">
        <f>IF(F347&lt;&gt;"weapon","",IF(G347="miscellaneous","1-4",IF(I347="","",IFERROR(VLOOKUP(I347&amp;"|"&amp;IF(LEFT(H347,2)="2H",2,1)&amp;"|"&amp;IF(G347="slashing",1,0),_lookup!$G$3:$H$18,2,FALSE),""))))</f>
        <v/>
      </c>
      <c r="L347">
        <f>IF(K347="","",IF(OR(G347="channeling",G347="infusing"),"Magical",IF(G347="blocking","Anti-Physical",IF(G347="warding","Anti-Magical","Physical"))))</f>
        <v/>
      </c>
      <c r="O347">
        <f>IF(F347&lt;&gt;"armor","","TBD")</f>
        <v/>
      </c>
      <c r="P347">
        <f>IF(O347="","",IF(OR(G347="channeling",G347="infusing"),"Magical",IF(G347="blocking","Anti-Physical",IF(G347="warding","Anti-Magical","Physical"))))</f>
        <v/>
      </c>
    </row>
    <row r="348">
      <c r="J348">
        <f>IF(G348="","",IFERROR(IF(G348="infusing",IFERROR(LOOKUP(2,1/ISNUMBER(SEARCH(_lookup!$D$3:$D$4,H348)),_lookup!$E$3:$E$4),"INT"),VLOOKUP(G348,_lookup!$A$3:$B$14,2,FALSE)),""))</f>
        <v/>
      </c>
      <c r="K348">
        <f>IF(F348&lt;&gt;"weapon","",IF(G348="miscellaneous","1-4",IF(I348="","",IFERROR(VLOOKUP(I348&amp;"|"&amp;IF(LEFT(H348,2)="2H",2,1)&amp;"|"&amp;IF(G348="slashing",1,0),_lookup!$G$3:$H$18,2,FALSE),""))))</f>
        <v/>
      </c>
      <c r="L348">
        <f>IF(K348="","",IF(OR(G348="channeling",G348="infusing"),"Magical",IF(G348="blocking","Anti-Physical",IF(G348="warding","Anti-Magical","Physical"))))</f>
        <v/>
      </c>
      <c r="O348">
        <f>IF(F348&lt;&gt;"armor","","TBD")</f>
        <v/>
      </c>
      <c r="P348">
        <f>IF(O348="","",IF(OR(G348="channeling",G348="infusing"),"Magical",IF(G348="blocking","Anti-Physical",IF(G348="warding","Anti-Magical","Physical"))))</f>
        <v/>
      </c>
    </row>
    <row r="349">
      <c r="J349">
        <f>IF(G349="","",IFERROR(IF(G349="infusing",IFERROR(LOOKUP(2,1/ISNUMBER(SEARCH(_lookup!$D$3:$D$4,H349)),_lookup!$E$3:$E$4),"INT"),VLOOKUP(G349,_lookup!$A$3:$B$14,2,FALSE)),""))</f>
        <v/>
      </c>
      <c r="K349">
        <f>IF(F349&lt;&gt;"weapon","",IF(G349="miscellaneous","1-4",IF(I349="","",IFERROR(VLOOKUP(I349&amp;"|"&amp;IF(LEFT(H349,2)="2H",2,1)&amp;"|"&amp;IF(G349="slashing",1,0),_lookup!$G$3:$H$18,2,FALSE),""))))</f>
        <v/>
      </c>
      <c r="L349">
        <f>IF(K349="","",IF(OR(G349="channeling",G349="infusing"),"Magical",IF(G349="blocking","Anti-Physical",IF(G349="warding","Anti-Magical","Physical"))))</f>
        <v/>
      </c>
      <c r="O349">
        <f>IF(F349&lt;&gt;"armor","","TBD")</f>
        <v/>
      </c>
      <c r="P349">
        <f>IF(O349="","",IF(OR(G349="channeling",G349="infusing"),"Magical",IF(G349="blocking","Anti-Physical",IF(G349="warding","Anti-Magical","Physical"))))</f>
        <v/>
      </c>
    </row>
    <row r="350">
      <c r="J350">
        <f>IF(G350="","",IFERROR(IF(G350="infusing",IFERROR(LOOKUP(2,1/ISNUMBER(SEARCH(_lookup!$D$3:$D$4,H350)),_lookup!$E$3:$E$4),"INT"),VLOOKUP(G350,_lookup!$A$3:$B$14,2,FALSE)),""))</f>
        <v/>
      </c>
      <c r="K350">
        <f>IF(F350&lt;&gt;"weapon","",IF(G350="miscellaneous","1-4",IF(I350="","",IFERROR(VLOOKUP(I350&amp;"|"&amp;IF(LEFT(H350,2)="2H",2,1)&amp;"|"&amp;IF(G350="slashing",1,0),_lookup!$G$3:$H$18,2,FALSE),""))))</f>
        <v/>
      </c>
      <c r="L350">
        <f>IF(K350="","",IF(OR(G350="channeling",G350="infusing"),"Magical",IF(G350="blocking","Anti-Physical",IF(G350="warding","Anti-Magical","Physical"))))</f>
        <v/>
      </c>
      <c r="O350">
        <f>IF(F350&lt;&gt;"armor","","TBD")</f>
        <v/>
      </c>
      <c r="P350">
        <f>IF(O350="","",IF(OR(G350="channeling",G350="infusing"),"Magical",IF(G350="blocking","Anti-Physical",IF(G350="warding","Anti-Magical","Physical"))))</f>
        <v/>
      </c>
    </row>
    <row r="351">
      <c r="J351">
        <f>IF(G351="","",IFERROR(IF(G351="infusing",IFERROR(LOOKUP(2,1/ISNUMBER(SEARCH(_lookup!$D$3:$D$4,H351)),_lookup!$E$3:$E$4),"INT"),VLOOKUP(G351,_lookup!$A$3:$B$14,2,FALSE)),""))</f>
        <v/>
      </c>
      <c r="K351">
        <f>IF(F351&lt;&gt;"weapon","",IF(G351="miscellaneous","1-4",IF(I351="","",IFERROR(VLOOKUP(I351&amp;"|"&amp;IF(LEFT(H351,2)="2H",2,1)&amp;"|"&amp;IF(G351="slashing",1,0),_lookup!$G$3:$H$18,2,FALSE),""))))</f>
        <v/>
      </c>
      <c r="L351">
        <f>IF(K351="","",IF(OR(G351="channeling",G351="infusing"),"Magical",IF(G351="blocking","Anti-Physical",IF(G351="warding","Anti-Magical","Physical"))))</f>
        <v/>
      </c>
      <c r="O351">
        <f>IF(F351&lt;&gt;"armor","","TBD")</f>
        <v/>
      </c>
      <c r="P351">
        <f>IF(O351="","",IF(OR(G351="channeling",G351="infusing"),"Magical",IF(G351="blocking","Anti-Physical",IF(G351="warding","Anti-Magical","Physical"))))</f>
        <v/>
      </c>
    </row>
    <row r="352">
      <c r="J352">
        <f>IF(G352="","",IFERROR(IF(G352="infusing",IFERROR(LOOKUP(2,1/ISNUMBER(SEARCH(_lookup!$D$3:$D$4,H352)),_lookup!$E$3:$E$4),"INT"),VLOOKUP(G352,_lookup!$A$3:$B$14,2,FALSE)),""))</f>
        <v/>
      </c>
      <c r="K352">
        <f>IF(F352&lt;&gt;"weapon","",IF(G352="miscellaneous","1-4",IF(I352="","",IFERROR(VLOOKUP(I352&amp;"|"&amp;IF(LEFT(H352,2)="2H",2,1)&amp;"|"&amp;IF(G352="slashing",1,0),_lookup!$G$3:$H$18,2,FALSE),""))))</f>
        <v/>
      </c>
      <c r="L352">
        <f>IF(K352="","",IF(OR(G352="channeling",G352="infusing"),"Magical",IF(G352="blocking","Anti-Physical",IF(G352="warding","Anti-Magical","Physical"))))</f>
        <v/>
      </c>
      <c r="O352">
        <f>IF(F352&lt;&gt;"armor","","TBD")</f>
        <v/>
      </c>
      <c r="P352">
        <f>IF(O352="","",IF(OR(G352="channeling",G352="infusing"),"Magical",IF(G352="blocking","Anti-Physical",IF(G352="warding","Anti-Magical","Physical"))))</f>
        <v/>
      </c>
    </row>
    <row r="353">
      <c r="J353">
        <f>IF(G353="","",IFERROR(IF(G353="infusing",IFERROR(LOOKUP(2,1/ISNUMBER(SEARCH(_lookup!$D$3:$D$4,H353)),_lookup!$E$3:$E$4),"INT"),VLOOKUP(G353,_lookup!$A$3:$B$14,2,FALSE)),""))</f>
        <v/>
      </c>
      <c r="K353">
        <f>IF(F353&lt;&gt;"weapon","",IF(G353="miscellaneous","1-4",IF(I353="","",IFERROR(VLOOKUP(I353&amp;"|"&amp;IF(LEFT(H353,2)="2H",2,1)&amp;"|"&amp;IF(G353="slashing",1,0),_lookup!$G$3:$H$18,2,FALSE),""))))</f>
        <v/>
      </c>
      <c r="L353">
        <f>IF(K353="","",IF(OR(G353="channeling",G353="infusing"),"Magical",IF(G353="blocking","Anti-Physical",IF(G353="warding","Anti-Magical","Physical"))))</f>
        <v/>
      </c>
      <c r="O353">
        <f>IF(F353&lt;&gt;"armor","","TBD")</f>
        <v/>
      </c>
      <c r="P353">
        <f>IF(O353="","",IF(OR(G353="channeling",G353="infusing"),"Magical",IF(G353="blocking","Anti-Physical",IF(G353="warding","Anti-Magical","Physical"))))</f>
        <v/>
      </c>
    </row>
    <row r="354">
      <c r="J354">
        <f>IF(G354="","",IFERROR(IF(G354="infusing",IFERROR(LOOKUP(2,1/ISNUMBER(SEARCH(_lookup!$D$3:$D$4,H354)),_lookup!$E$3:$E$4),"INT"),VLOOKUP(G354,_lookup!$A$3:$B$14,2,FALSE)),""))</f>
        <v/>
      </c>
      <c r="K354">
        <f>IF(F354&lt;&gt;"weapon","",IF(G354="miscellaneous","1-4",IF(I354="","",IFERROR(VLOOKUP(I354&amp;"|"&amp;IF(LEFT(H354,2)="2H",2,1)&amp;"|"&amp;IF(G354="slashing",1,0),_lookup!$G$3:$H$18,2,FALSE),""))))</f>
        <v/>
      </c>
      <c r="L354">
        <f>IF(K354="","",IF(OR(G354="channeling",G354="infusing"),"Magical",IF(G354="blocking","Anti-Physical",IF(G354="warding","Anti-Magical","Physical"))))</f>
        <v/>
      </c>
      <c r="O354">
        <f>IF(F354&lt;&gt;"armor","","TBD")</f>
        <v/>
      </c>
      <c r="P354">
        <f>IF(O354="","",IF(OR(G354="channeling",G354="infusing"),"Magical",IF(G354="blocking","Anti-Physical",IF(G354="warding","Anti-Magical","Physical"))))</f>
        <v/>
      </c>
    </row>
    <row r="355">
      <c r="J355">
        <f>IF(G355="","",IFERROR(IF(G355="infusing",IFERROR(LOOKUP(2,1/ISNUMBER(SEARCH(_lookup!$D$3:$D$4,H355)),_lookup!$E$3:$E$4),"INT"),VLOOKUP(G355,_lookup!$A$3:$B$14,2,FALSE)),""))</f>
        <v/>
      </c>
      <c r="K355">
        <f>IF(F355&lt;&gt;"weapon","",IF(G355="miscellaneous","1-4",IF(I355="","",IFERROR(VLOOKUP(I355&amp;"|"&amp;IF(LEFT(H355,2)="2H",2,1)&amp;"|"&amp;IF(G355="slashing",1,0),_lookup!$G$3:$H$18,2,FALSE),""))))</f>
        <v/>
      </c>
      <c r="L355">
        <f>IF(K355="","",IF(OR(G355="channeling",G355="infusing"),"Magical",IF(G355="blocking","Anti-Physical",IF(G355="warding","Anti-Magical","Physical"))))</f>
        <v/>
      </c>
      <c r="O355">
        <f>IF(F355&lt;&gt;"armor","","TBD")</f>
        <v/>
      </c>
      <c r="P355">
        <f>IF(O355="","",IF(OR(G355="channeling",G355="infusing"),"Magical",IF(G355="blocking","Anti-Physical",IF(G355="warding","Anti-Magical","Physical"))))</f>
        <v/>
      </c>
    </row>
    <row r="356">
      <c r="J356">
        <f>IF(G356="","",IFERROR(IF(G356="infusing",IFERROR(LOOKUP(2,1/ISNUMBER(SEARCH(_lookup!$D$3:$D$4,H356)),_lookup!$E$3:$E$4),"INT"),VLOOKUP(G356,_lookup!$A$3:$B$14,2,FALSE)),""))</f>
        <v/>
      </c>
      <c r="K356">
        <f>IF(F356&lt;&gt;"weapon","",IF(G356="miscellaneous","1-4",IF(I356="","",IFERROR(VLOOKUP(I356&amp;"|"&amp;IF(LEFT(H356,2)="2H",2,1)&amp;"|"&amp;IF(G356="slashing",1,0),_lookup!$G$3:$H$18,2,FALSE),""))))</f>
        <v/>
      </c>
      <c r="L356">
        <f>IF(K356="","",IF(OR(G356="channeling",G356="infusing"),"Magical",IF(G356="blocking","Anti-Physical",IF(G356="warding","Anti-Magical","Physical"))))</f>
        <v/>
      </c>
      <c r="O356">
        <f>IF(F356&lt;&gt;"armor","","TBD")</f>
        <v/>
      </c>
      <c r="P356">
        <f>IF(O356="","",IF(OR(G356="channeling",G356="infusing"),"Magical",IF(G356="blocking","Anti-Physical",IF(G356="warding","Anti-Magical","Physical"))))</f>
        <v/>
      </c>
    </row>
    <row r="357">
      <c r="J357">
        <f>IF(G357="","",IFERROR(IF(G357="infusing",IFERROR(LOOKUP(2,1/ISNUMBER(SEARCH(_lookup!$D$3:$D$4,H357)),_lookup!$E$3:$E$4),"INT"),VLOOKUP(G357,_lookup!$A$3:$B$14,2,FALSE)),""))</f>
        <v/>
      </c>
      <c r="K357">
        <f>IF(F357&lt;&gt;"weapon","",IF(G357="miscellaneous","1-4",IF(I357="","",IFERROR(VLOOKUP(I357&amp;"|"&amp;IF(LEFT(H357,2)="2H",2,1)&amp;"|"&amp;IF(G357="slashing",1,0),_lookup!$G$3:$H$18,2,FALSE),""))))</f>
        <v/>
      </c>
      <c r="L357">
        <f>IF(K357="","",IF(OR(G357="channeling",G357="infusing"),"Magical",IF(G357="blocking","Anti-Physical",IF(G357="warding","Anti-Magical","Physical"))))</f>
        <v/>
      </c>
      <c r="O357">
        <f>IF(F357&lt;&gt;"armor","","TBD")</f>
        <v/>
      </c>
      <c r="P357">
        <f>IF(O357="","",IF(OR(G357="channeling",G357="infusing"),"Magical",IF(G357="blocking","Anti-Physical",IF(G357="warding","Anti-Magical","Physical"))))</f>
        <v/>
      </c>
    </row>
    <row r="358">
      <c r="J358">
        <f>IF(G358="","",IFERROR(IF(G358="infusing",IFERROR(LOOKUP(2,1/ISNUMBER(SEARCH(_lookup!$D$3:$D$4,H358)),_lookup!$E$3:$E$4),"INT"),VLOOKUP(G358,_lookup!$A$3:$B$14,2,FALSE)),""))</f>
        <v/>
      </c>
      <c r="K358">
        <f>IF(F358&lt;&gt;"weapon","",IF(G358="miscellaneous","1-4",IF(I358="","",IFERROR(VLOOKUP(I358&amp;"|"&amp;IF(LEFT(H358,2)="2H",2,1)&amp;"|"&amp;IF(G358="slashing",1,0),_lookup!$G$3:$H$18,2,FALSE),""))))</f>
        <v/>
      </c>
      <c r="L358">
        <f>IF(K358="","",IF(OR(G358="channeling",G358="infusing"),"Magical",IF(G358="blocking","Anti-Physical",IF(G358="warding","Anti-Magical","Physical"))))</f>
        <v/>
      </c>
      <c r="O358">
        <f>IF(F358&lt;&gt;"armor","","TBD")</f>
        <v/>
      </c>
      <c r="P358">
        <f>IF(O358="","",IF(OR(G358="channeling",G358="infusing"),"Magical",IF(G358="blocking","Anti-Physical",IF(G358="warding","Anti-Magical","Physical"))))</f>
        <v/>
      </c>
    </row>
    <row r="359">
      <c r="J359">
        <f>IF(G359="","",IFERROR(IF(G359="infusing",IFERROR(LOOKUP(2,1/ISNUMBER(SEARCH(_lookup!$D$3:$D$4,H359)),_lookup!$E$3:$E$4),"INT"),VLOOKUP(G359,_lookup!$A$3:$B$14,2,FALSE)),""))</f>
        <v/>
      </c>
      <c r="K359">
        <f>IF(F359&lt;&gt;"weapon","",IF(G359="miscellaneous","1-4",IF(I359="","",IFERROR(VLOOKUP(I359&amp;"|"&amp;IF(LEFT(H359,2)="2H",2,1)&amp;"|"&amp;IF(G359="slashing",1,0),_lookup!$G$3:$H$18,2,FALSE),""))))</f>
        <v/>
      </c>
      <c r="L359">
        <f>IF(K359="","",IF(OR(G359="channeling",G359="infusing"),"Magical",IF(G359="blocking","Anti-Physical",IF(G359="warding","Anti-Magical","Physical"))))</f>
        <v/>
      </c>
      <c r="O359">
        <f>IF(F359&lt;&gt;"armor","","TBD")</f>
        <v/>
      </c>
      <c r="P359">
        <f>IF(O359="","",IF(OR(G359="channeling",G359="infusing"),"Magical",IF(G359="blocking","Anti-Physical",IF(G359="warding","Anti-Magical","Physical"))))</f>
        <v/>
      </c>
    </row>
    <row r="360">
      <c r="J360">
        <f>IF(G360="","",IFERROR(IF(G360="infusing",IFERROR(LOOKUP(2,1/ISNUMBER(SEARCH(_lookup!$D$3:$D$4,H360)),_lookup!$E$3:$E$4),"INT"),VLOOKUP(G360,_lookup!$A$3:$B$14,2,FALSE)),""))</f>
        <v/>
      </c>
      <c r="K360">
        <f>IF(F360&lt;&gt;"weapon","",IF(G360="miscellaneous","1-4",IF(I360="","",IFERROR(VLOOKUP(I360&amp;"|"&amp;IF(LEFT(H360,2)="2H",2,1)&amp;"|"&amp;IF(G360="slashing",1,0),_lookup!$G$3:$H$18,2,FALSE),""))))</f>
        <v/>
      </c>
      <c r="L360">
        <f>IF(K360="","",IF(OR(G360="channeling",G360="infusing"),"Magical",IF(G360="blocking","Anti-Physical",IF(G360="warding","Anti-Magical","Physical"))))</f>
        <v/>
      </c>
      <c r="O360">
        <f>IF(F360&lt;&gt;"armor","","TBD")</f>
        <v/>
      </c>
      <c r="P360">
        <f>IF(O360="","",IF(OR(G360="channeling",G360="infusing"),"Magical",IF(G360="blocking","Anti-Physical",IF(G360="warding","Anti-Magical","Physical"))))</f>
        <v/>
      </c>
    </row>
    <row r="361">
      <c r="J361">
        <f>IF(G361="","",IFERROR(IF(G361="infusing",IFERROR(LOOKUP(2,1/ISNUMBER(SEARCH(_lookup!$D$3:$D$4,H361)),_lookup!$E$3:$E$4),"INT"),VLOOKUP(G361,_lookup!$A$3:$B$14,2,FALSE)),""))</f>
        <v/>
      </c>
      <c r="K361">
        <f>IF(F361&lt;&gt;"weapon","",IF(G361="miscellaneous","1-4",IF(I361="","",IFERROR(VLOOKUP(I361&amp;"|"&amp;IF(LEFT(H361,2)="2H",2,1)&amp;"|"&amp;IF(G361="slashing",1,0),_lookup!$G$3:$H$18,2,FALSE),""))))</f>
        <v/>
      </c>
      <c r="L361">
        <f>IF(K361="","",IF(OR(G361="channeling",G361="infusing"),"Magical",IF(G361="blocking","Anti-Physical",IF(G361="warding","Anti-Magical","Physical"))))</f>
        <v/>
      </c>
      <c r="O361">
        <f>IF(F361&lt;&gt;"armor","","TBD")</f>
        <v/>
      </c>
      <c r="P361">
        <f>IF(O361="","",IF(OR(G361="channeling",G361="infusing"),"Magical",IF(G361="blocking","Anti-Physical",IF(G361="warding","Anti-Magical","Physical"))))</f>
        <v/>
      </c>
    </row>
    <row r="362">
      <c r="J362">
        <f>IF(G362="","",IFERROR(IF(G362="infusing",IFERROR(LOOKUP(2,1/ISNUMBER(SEARCH(_lookup!$D$3:$D$4,H362)),_lookup!$E$3:$E$4),"INT"),VLOOKUP(G362,_lookup!$A$3:$B$14,2,FALSE)),""))</f>
        <v/>
      </c>
      <c r="K362">
        <f>IF(F362&lt;&gt;"weapon","",IF(G362="miscellaneous","1-4",IF(I362="","",IFERROR(VLOOKUP(I362&amp;"|"&amp;IF(LEFT(H362,2)="2H",2,1)&amp;"|"&amp;IF(G362="slashing",1,0),_lookup!$G$3:$H$18,2,FALSE),""))))</f>
        <v/>
      </c>
      <c r="L362">
        <f>IF(K362="","",IF(OR(G362="channeling",G362="infusing"),"Magical",IF(G362="blocking","Anti-Physical",IF(G362="warding","Anti-Magical","Physical"))))</f>
        <v/>
      </c>
      <c r="O362">
        <f>IF(F362&lt;&gt;"armor","","TBD")</f>
        <v/>
      </c>
      <c r="P362">
        <f>IF(O362="","",IF(OR(G362="channeling",G362="infusing"),"Magical",IF(G362="blocking","Anti-Physical",IF(G362="warding","Anti-Magical","Physical"))))</f>
        <v/>
      </c>
    </row>
    <row r="363">
      <c r="J363">
        <f>IF(G363="","",IFERROR(IF(G363="infusing",IFERROR(LOOKUP(2,1/ISNUMBER(SEARCH(_lookup!$D$3:$D$4,H363)),_lookup!$E$3:$E$4),"INT"),VLOOKUP(G363,_lookup!$A$3:$B$14,2,FALSE)),""))</f>
        <v/>
      </c>
      <c r="K363">
        <f>IF(F363&lt;&gt;"weapon","",IF(G363="miscellaneous","1-4",IF(I363="","",IFERROR(VLOOKUP(I363&amp;"|"&amp;IF(LEFT(H363,2)="2H",2,1)&amp;"|"&amp;IF(G363="slashing",1,0),_lookup!$G$3:$H$18,2,FALSE),""))))</f>
        <v/>
      </c>
      <c r="L363">
        <f>IF(K363="","",IF(OR(G363="channeling",G363="infusing"),"Magical",IF(G363="blocking","Anti-Physical",IF(G363="warding","Anti-Magical","Physical"))))</f>
        <v/>
      </c>
      <c r="O363">
        <f>IF(F363&lt;&gt;"armor","","TBD")</f>
        <v/>
      </c>
      <c r="P363">
        <f>IF(O363="","",IF(OR(G363="channeling",G363="infusing"),"Magical",IF(G363="blocking","Anti-Physical",IF(G363="warding","Anti-Magical","Physical"))))</f>
        <v/>
      </c>
    </row>
    <row r="364">
      <c r="J364">
        <f>IF(G364="","",IFERROR(IF(G364="infusing",IFERROR(LOOKUP(2,1/ISNUMBER(SEARCH(_lookup!$D$3:$D$4,H364)),_lookup!$E$3:$E$4),"INT"),VLOOKUP(G364,_lookup!$A$3:$B$14,2,FALSE)),""))</f>
        <v/>
      </c>
      <c r="K364">
        <f>IF(F364&lt;&gt;"weapon","",IF(G364="miscellaneous","1-4",IF(I364="","",IFERROR(VLOOKUP(I364&amp;"|"&amp;IF(LEFT(H364,2)="2H",2,1)&amp;"|"&amp;IF(G364="slashing",1,0),_lookup!$G$3:$H$18,2,FALSE),""))))</f>
        <v/>
      </c>
      <c r="L364">
        <f>IF(K364="","",IF(OR(G364="channeling",G364="infusing"),"Magical",IF(G364="blocking","Anti-Physical",IF(G364="warding","Anti-Magical","Physical"))))</f>
        <v/>
      </c>
      <c r="O364">
        <f>IF(F364&lt;&gt;"armor","","TBD")</f>
        <v/>
      </c>
      <c r="P364">
        <f>IF(O364="","",IF(OR(G364="channeling",G364="infusing"),"Magical",IF(G364="blocking","Anti-Physical",IF(G364="warding","Anti-Magical","Physical"))))</f>
        <v/>
      </c>
    </row>
    <row r="365">
      <c r="J365">
        <f>IF(G365="","",IFERROR(IF(G365="infusing",IFERROR(LOOKUP(2,1/ISNUMBER(SEARCH(_lookup!$D$3:$D$4,H365)),_lookup!$E$3:$E$4),"INT"),VLOOKUP(G365,_lookup!$A$3:$B$14,2,FALSE)),""))</f>
        <v/>
      </c>
      <c r="K365">
        <f>IF(F365&lt;&gt;"weapon","",IF(G365="miscellaneous","1-4",IF(I365="","",IFERROR(VLOOKUP(I365&amp;"|"&amp;IF(LEFT(H365,2)="2H",2,1)&amp;"|"&amp;IF(G365="slashing",1,0),_lookup!$G$3:$H$18,2,FALSE),""))))</f>
        <v/>
      </c>
      <c r="L365">
        <f>IF(K365="","",IF(OR(G365="channeling",G365="infusing"),"Magical",IF(G365="blocking","Anti-Physical",IF(G365="warding","Anti-Magical","Physical"))))</f>
        <v/>
      </c>
      <c r="O365">
        <f>IF(F365&lt;&gt;"armor","","TBD")</f>
        <v/>
      </c>
      <c r="P365">
        <f>IF(O365="","",IF(OR(G365="channeling",G365="infusing"),"Magical",IF(G365="blocking","Anti-Physical",IF(G365="warding","Anti-Magical","Physical"))))</f>
        <v/>
      </c>
    </row>
    <row r="366">
      <c r="J366">
        <f>IF(G366="","",IFERROR(IF(G366="infusing",IFERROR(LOOKUP(2,1/ISNUMBER(SEARCH(_lookup!$D$3:$D$4,H366)),_lookup!$E$3:$E$4),"INT"),VLOOKUP(G366,_lookup!$A$3:$B$14,2,FALSE)),""))</f>
        <v/>
      </c>
      <c r="K366">
        <f>IF(F366&lt;&gt;"weapon","",IF(G366="miscellaneous","1-4",IF(I366="","",IFERROR(VLOOKUP(I366&amp;"|"&amp;IF(LEFT(H366,2)="2H",2,1)&amp;"|"&amp;IF(G366="slashing",1,0),_lookup!$G$3:$H$18,2,FALSE),""))))</f>
        <v/>
      </c>
      <c r="L366">
        <f>IF(K366="","",IF(OR(G366="channeling",G366="infusing"),"Magical",IF(G366="blocking","Anti-Physical",IF(G366="warding","Anti-Magical","Physical"))))</f>
        <v/>
      </c>
      <c r="O366">
        <f>IF(F366&lt;&gt;"armor","","TBD")</f>
        <v/>
      </c>
      <c r="P366">
        <f>IF(O366="","",IF(OR(G366="channeling",G366="infusing"),"Magical",IF(G366="blocking","Anti-Physical",IF(G366="warding","Anti-Magical","Physical"))))</f>
        <v/>
      </c>
    </row>
    <row r="367">
      <c r="J367">
        <f>IF(G367="","",IFERROR(IF(G367="infusing",IFERROR(LOOKUP(2,1/ISNUMBER(SEARCH(_lookup!$D$3:$D$4,H367)),_lookup!$E$3:$E$4),"INT"),VLOOKUP(G367,_lookup!$A$3:$B$14,2,FALSE)),""))</f>
        <v/>
      </c>
      <c r="K367">
        <f>IF(F367&lt;&gt;"weapon","",IF(G367="miscellaneous","1-4",IF(I367="","",IFERROR(VLOOKUP(I367&amp;"|"&amp;IF(LEFT(H367,2)="2H",2,1)&amp;"|"&amp;IF(G367="slashing",1,0),_lookup!$G$3:$H$18,2,FALSE),""))))</f>
        <v/>
      </c>
      <c r="L367">
        <f>IF(K367="","",IF(OR(G367="channeling",G367="infusing"),"Magical",IF(G367="blocking","Anti-Physical",IF(G367="warding","Anti-Magical","Physical"))))</f>
        <v/>
      </c>
      <c r="O367">
        <f>IF(F367&lt;&gt;"armor","","TBD")</f>
        <v/>
      </c>
      <c r="P367">
        <f>IF(O367="","",IF(OR(G367="channeling",G367="infusing"),"Magical",IF(G367="blocking","Anti-Physical",IF(G367="warding","Anti-Magical","Physical"))))</f>
        <v/>
      </c>
    </row>
    <row r="368">
      <c r="J368">
        <f>IF(G368="","",IFERROR(IF(G368="infusing",IFERROR(LOOKUP(2,1/ISNUMBER(SEARCH(_lookup!$D$3:$D$4,H368)),_lookup!$E$3:$E$4),"INT"),VLOOKUP(G368,_lookup!$A$3:$B$14,2,FALSE)),""))</f>
        <v/>
      </c>
      <c r="K368">
        <f>IF(F368&lt;&gt;"weapon","",IF(G368="miscellaneous","1-4",IF(I368="","",IFERROR(VLOOKUP(I368&amp;"|"&amp;IF(LEFT(H368,2)="2H",2,1)&amp;"|"&amp;IF(G368="slashing",1,0),_lookup!$G$3:$H$18,2,FALSE),""))))</f>
        <v/>
      </c>
      <c r="L368">
        <f>IF(K368="","",IF(OR(G368="channeling",G368="infusing"),"Magical",IF(G368="blocking","Anti-Physical",IF(G368="warding","Anti-Magical","Physical"))))</f>
        <v/>
      </c>
      <c r="O368">
        <f>IF(F368&lt;&gt;"armor","","TBD")</f>
        <v/>
      </c>
      <c r="P368">
        <f>IF(O368="","",IF(OR(G368="channeling",G368="infusing"),"Magical",IF(G368="blocking","Anti-Physical",IF(G368="warding","Anti-Magical","Physical"))))</f>
        <v/>
      </c>
    </row>
    <row r="369">
      <c r="J369">
        <f>IF(G369="","",IFERROR(IF(G369="infusing",IFERROR(LOOKUP(2,1/ISNUMBER(SEARCH(_lookup!$D$3:$D$4,H369)),_lookup!$E$3:$E$4),"INT"),VLOOKUP(G369,_lookup!$A$3:$B$14,2,FALSE)),""))</f>
        <v/>
      </c>
      <c r="K369">
        <f>IF(F369&lt;&gt;"weapon","",IF(G369="miscellaneous","1-4",IF(I369="","",IFERROR(VLOOKUP(I369&amp;"|"&amp;IF(LEFT(H369,2)="2H",2,1)&amp;"|"&amp;IF(G369="slashing",1,0),_lookup!$G$3:$H$18,2,FALSE),""))))</f>
        <v/>
      </c>
      <c r="L369">
        <f>IF(K369="","",IF(OR(G369="channeling",G369="infusing"),"Magical",IF(G369="blocking","Anti-Physical",IF(G369="warding","Anti-Magical","Physical"))))</f>
        <v/>
      </c>
      <c r="O369">
        <f>IF(F369&lt;&gt;"armor","","TBD")</f>
        <v/>
      </c>
      <c r="P369">
        <f>IF(O369="","",IF(OR(G369="channeling",G369="infusing"),"Magical",IF(G369="blocking","Anti-Physical",IF(G369="warding","Anti-Magical","Physical"))))</f>
        <v/>
      </c>
    </row>
    <row r="370">
      <c r="J370">
        <f>IF(G370="","",IFERROR(IF(G370="infusing",IFERROR(LOOKUP(2,1/ISNUMBER(SEARCH(_lookup!$D$3:$D$4,H370)),_lookup!$E$3:$E$4),"INT"),VLOOKUP(G370,_lookup!$A$3:$B$14,2,FALSE)),""))</f>
        <v/>
      </c>
      <c r="K370">
        <f>IF(F370&lt;&gt;"weapon","",IF(G370="miscellaneous","1-4",IF(I370="","",IFERROR(VLOOKUP(I370&amp;"|"&amp;IF(LEFT(H370,2)="2H",2,1)&amp;"|"&amp;IF(G370="slashing",1,0),_lookup!$G$3:$H$18,2,FALSE),""))))</f>
        <v/>
      </c>
      <c r="L370">
        <f>IF(K370="","",IF(OR(G370="channeling",G370="infusing"),"Magical",IF(G370="blocking","Anti-Physical",IF(G370="warding","Anti-Magical","Physical"))))</f>
        <v/>
      </c>
      <c r="O370">
        <f>IF(F370&lt;&gt;"armor","","TBD")</f>
        <v/>
      </c>
      <c r="P370">
        <f>IF(O370="","",IF(OR(G370="channeling",G370="infusing"),"Magical",IF(G370="blocking","Anti-Physical",IF(G370="warding","Anti-Magical","Physical"))))</f>
        <v/>
      </c>
    </row>
    <row r="371">
      <c r="J371">
        <f>IF(G371="","",IFERROR(IF(G371="infusing",IFERROR(LOOKUP(2,1/ISNUMBER(SEARCH(_lookup!$D$3:$D$4,H371)),_lookup!$E$3:$E$4),"INT"),VLOOKUP(G371,_lookup!$A$3:$B$14,2,FALSE)),""))</f>
        <v/>
      </c>
      <c r="K371">
        <f>IF(F371&lt;&gt;"weapon","",IF(G371="miscellaneous","1-4",IF(I371="","",IFERROR(VLOOKUP(I371&amp;"|"&amp;IF(LEFT(H371,2)="2H",2,1)&amp;"|"&amp;IF(G371="slashing",1,0),_lookup!$G$3:$H$18,2,FALSE),""))))</f>
        <v/>
      </c>
      <c r="L371">
        <f>IF(K371="","",IF(OR(G371="channeling",G371="infusing"),"Magical",IF(G371="blocking","Anti-Physical",IF(G371="warding","Anti-Magical","Physical"))))</f>
        <v/>
      </c>
      <c r="O371">
        <f>IF(F371&lt;&gt;"armor","","TBD")</f>
        <v/>
      </c>
      <c r="P371">
        <f>IF(O371="","",IF(OR(G371="channeling",G371="infusing"),"Magical",IF(G371="blocking","Anti-Physical",IF(G371="warding","Anti-Magical","Physical"))))</f>
        <v/>
      </c>
    </row>
    <row r="372">
      <c r="J372">
        <f>IF(G372="","",IFERROR(IF(G372="infusing",IFERROR(LOOKUP(2,1/ISNUMBER(SEARCH(_lookup!$D$3:$D$4,H372)),_lookup!$E$3:$E$4),"INT"),VLOOKUP(G372,_lookup!$A$3:$B$14,2,FALSE)),""))</f>
        <v/>
      </c>
      <c r="K372">
        <f>IF(F372&lt;&gt;"weapon","",IF(G372="miscellaneous","1-4",IF(I372="","",IFERROR(VLOOKUP(I372&amp;"|"&amp;IF(LEFT(H372,2)="2H",2,1)&amp;"|"&amp;IF(G372="slashing",1,0),_lookup!$G$3:$H$18,2,FALSE),""))))</f>
        <v/>
      </c>
      <c r="L372">
        <f>IF(K372="","",IF(OR(G372="channeling",G372="infusing"),"Magical",IF(G372="blocking","Anti-Physical",IF(G372="warding","Anti-Magical","Physical"))))</f>
        <v/>
      </c>
      <c r="O372">
        <f>IF(F372&lt;&gt;"armor","","TBD")</f>
        <v/>
      </c>
      <c r="P372">
        <f>IF(O372="","",IF(OR(G372="channeling",G372="infusing"),"Magical",IF(G372="blocking","Anti-Physical",IF(G372="warding","Anti-Magical","Physical"))))</f>
        <v/>
      </c>
    </row>
    <row r="373">
      <c r="J373">
        <f>IF(G373="","",IFERROR(IF(G373="infusing",IFERROR(LOOKUP(2,1/ISNUMBER(SEARCH(_lookup!$D$3:$D$4,H373)),_lookup!$E$3:$E$4),"INT"),VLOOKUP(G373,_lookup!$A$3:$B$14,2,FALSE)),""))</f>
        <v/>
      </c>
      <c r="K373">
        <f>IF(F373&lt;&gt;"weapon","",IF(G373="miscellaneous","1-4",IF(I373="","",IFERROR(VLOOKUP(I373&amp;"|"&amp;IF(LEFT(H373,2)="2H",2,1)&amp;"|"&amp;IF(G373="slashing",1,0),_lookup!$G$3:$H$18,2,FALSE),""))))</f>
        <v/>
      </c>
      <c r="L373">
        <f>IF(K373="","",IF(OR(G373="channeling",G373="infusing"),"Magical",IF(G373="blocking","Anti-Physical",IF(G373="warding","Anti-Magical","Physical"))))</f>
        <v/>
      </c>
      <c r="O373">
        <f>IF(F373&lt;&gt;"armor","","TBD")</f>
        <v/>
      </c>
      <c r="P373">
        <f>IF(O373="","",IF(OR(G373="channeling",G373="infusing"),"Magical",IF(G373="blocking","Anti-Physical",IF(G373="warding","Anti-Magical","Physical"))))</f>
        <v/>
      </c>
    </row>
    <row r="374">
      <c r="J374">
        <f>IF(G374="","",IFERROR(IF(G374="infusing",IFERROR(LOOKUP(2,1/ISNUMBER(SEARCH(_lookup!$D$3:$D$4,H374)),_lookup!$E$3:$E$4),"INT"),VLOOKUP(G374,_lookup!$A$3:$B$14,2,FALSE)),""))</f>
        <v/>
      </c>
      <c r="K374">
        <f>IF(F374&lt;&gt;"weapon","",IF(G374="miscellaneous","1-4",IF(I374="","",IFERROR(VLOOKUP(I374&amp;"|"&amp;IF(LEFT(H374,2)="2H",2,1)&amp;"|"&amp;IF(G374="slashing",1,0),_lookup!$G$3:$H$18,2,FALSE),""))))</f>
        <v/>
      </c>
      <c r="L374">
        <f>IF(K374="","",IF(OR(G374="channeling",G374="infusing"),"Magical",IF(G374="blocking","Anti-Physical",IF(G374="warding","Anti-Magical","Physical"))))</f>
        <v/>
      </c>
      <c r="O374">
        <f>IF(F374&lt;&gt;"armor","","TBD")</f>
        <v/>
      </c>
      <c r="P374">
        <f>IF(O374="","",IF(OR(G374="channeling",G374="infusing"),"Magical",IF(G374="blocking","Anti-Physical",IF(G374="warding","Anti-Magical","Physical"))))</f>
        <v/>
      </c>
    </row>
    <row r="375">
      <c r="J375">
        <f>IF(G375="","",IFERROR(IF(G375="infusing",IFERROR(LOOKUP(2,1/ISNUMBER(SEARCH(_lookup!$D$3:$D$4,H375)),_lookup!$E$3:$E$4),"INT"),VLOOKUP(G375,_lookup!$A$3:$B$14,2,FALSE)),""))</f>
        <v/>
      </c>
      <c r="K375">
        <f>IF(F375&lt;&gt;"weapon","",IF(G375="miscellaneous","1-4",IF(I375="","",IFERROR(VLOOKUP(I375&amp;"|"&amp;IF(LEFT(H375,2)="2H",2,1)&amp;"|"&amp;IF(G375="slashing",1,0),_lookup!$G$3:$H$18,2,FALSE),""))))</f>
        <v/>
      </c>
      <c r="L375">
        <f>IF(K375="","",IF(OR(G375="channeling",G375="infusing"),"Magical",IF(G375="blocking","Anti-Physical",IF(G375="warding","Anti-Magical","Physical"))))</f>
        <v/>
      </c>
      <c r="O375">
        <f>IF(F375&lt;&gt;"armor","","TBD")</f>
        <v/>
      </c>
      <c r="P375">
        <f>IF(O375="","",IF(OR(G375="channeling",G375="infusing"),"Magical",IF(G375="blocking","Anti-Physical",IF(G375="warding","Anti-Magical","Physical"))))</f>
        <v/>
      </c>
    </row>
    <row r="376">
      <c r="J376">
        <f>IF(G376="","",IFERROR(IF(G376="infusing",IFERROR(LOOKUP(2,1/ISNUMBER(SEARCH(_lookup!$D$3:$D$4,H376)),_lookup!$E$3:$E$4),"INT"),VLOOKUP(G376,_lookup!$A$3:$B$14,2,FALSE)),""))</f>
        <v/>
      </c>
      <c r="K376">
        <f>IF(F376&lt;&gt;"weapon","",IF(G376="miscellaneous","1-4",IF(I376="","",IFERROR(VLOOKUP(I376&amp;"|"&amp;IF(LEFT(H376,2)="2H",2,1)&amp;"|"&amp;IF(G376="slashing",1,0),_lookup!$G$3:$H$18,2,FALSE),""))))</f>
        <v/>
      </c>
      <c r="L376">
        <f>IF(K376="","",IF(OR(G376="channeling",G376="infusing"),"Magical",IF(G376="blocking","Anti-Physical",IF(G376="warding","Anti-Magical","Physical"))))</f>
        <v/>
      </c>
      <c r="O376">
        <f>IF(F376&lt;&gt;"armor","","TBD")</f>
        <v/>
      </c>
      <c r="P376">
        <f>IF(O376="","",IF(OR(G376="channeling",G376="infusing"),"Magical",IF(G376="blocking","Anti-Physical",IF(G376="warding","Anti-Magical","Physical"))))</f>
        <v/>
      </c>
    </row>
    <row r="377">
      <c r="J377">
        <f>IF(G377="","",IFERROR(IF(G377="infusing",IFERROR(LOOKUP(2,1/ISNUMBER(SEARCH(_lookup!$D$3:$D$4,H377)),_lookup!$E$3:$E$4),"INT"),VLOOKUP(G377,_lookup!$A$3:$B$14,2,FALSE)),""))</f>
        <v/>
      </c>
      <c r="K377">
        <f>IF(F377&lt;&gt;"weapon","",IF(G377="miscellaneous","1-4",IF(I377="","",IFERROR(VLOOKUP(I377&amp;"|"&amp;IF(LEFT(H377,2)="2H",2,1)&amp;"|"&amp;IF(G377="slashing",1,0),_lookup!$G$3:$H$18,2,FALSE),""))))</f>
        <v/>
      </c>
      <c r="L377">
        <f>IF(K377="","",IF(OR(G377="channeling",G377="infusing"),"Magical",IF(G377="blocking","Anti-Physical",IF(G377="warding","Anti-Magical","Physical"))))</f>
        <v/>
      </c>
      <c r="O377">
        <f>IF(F377&lt;&gt;"armor","","TBD")</f>
        <v/>
      </c>
      <c r="P377">
        <f>IF(O377="","",IF(OR(G377="channeling",G377="infusing"),"Magical",IF(G377="blocking","Anti-Physical",IF(G377="warding","Anti-Magical","Physical"))))</f>
        <v/>
      </c>
    </row>
    <row r="378">
      <c r="J378">
        <f>IF(G378="","",IFERROR(IF(G378="infusing",IFERROR(LOOKUP(2,1/ISNUMBER(SEARCH(_lookup!$D$3:$D$4,H378)),_lookup!$E$3:$E$4),"INT"),VLOOKUP(G378,_lookup!$A$3:$B$14,2,FALSE)),""))</f>
        <v/>
      </c>
      <c r="K378">
        <f>IF(F378&lt;&gt;"weapon","",IF(G378="miscellaneous","1-4",IF(I378="","",IFERROR(VLOOKUP(I378&amp;"|"&amp;IF(LEFT(H378,2)="2H",2,1)&amp;"|"&amp;IF(G378="slashing",1,0),_lookup!$G$3:$H$18,2,FALSE),""))))</f>
        <v/>
      </c>
      <c r="L378">
        <f>IF(K378="","",IF(OR(G378="channeling",G378="infusing"),"Magical",IF(G378="blocking","Anti-Physical",IF(G378="warding","Anti-Magical","Physical"))))</f>
        <v/>
      </c>
      <c r="O378">
        <f>IF(F378&lt;&gt;"armor","","TBD")</f>
        <v/>
      </c>
      <c r="P378">
        <f>IF(O378="","",IF(OR(G378="channeling",G378="infusing"),"Magical",IF(G378="blocking","Anti-Physical",IF(G378="warding","Anti-Magical","Physical"))))</f>
        <v/>
      </c>
    </row>
    <row r="379">
      <c r="J379">
        <f>IF(G379="","",IFERROR(IF(G379="infusing",IFERROR(LOOKUP(2,1/ISNUMBER(SEARCH(_lookup!$D$3:$D$4,H379)),_lookup!$E$3:$E$4),"INT"),VLOOKUP(G379,_lookup!$A$3:$B$14,2,FALSE)),""))</f>
        <v/>
      </c>
      <c r="K379">
        <f>IF(F379&lt;&gt;"weapon","",IF(G379="miscellaneous","1-4",IF(I379="","",IFERROR(VLOOKUP(I379&amp;"|"&amp;IF(LEFT(H379,2)="2H",2,1)&amp;"|"&amp;IF(G379="slashing",1,0),_lookup!$G$3:$H$18,2,FALSE),""))))</f>
        <v/>
      </c>
      <c r="L379">
        <f>IF(K379="","",IF(OR(G379="channeling",G379="infusing"),"Magical",IF(G379="blocking","Anti-Physical",IF(G379="warding","Anti-Magical","Physical"))))</f>
        <v/>
      </c>
      <c r="O379">
        <f>IF(F379&lt;&gt;"armor","","TBD")</f>
        <v/>
      </c>
      <c r="P379">
        <f>IF(O379="","",IF(OR(G379="channeling",G379="infusing"),"Magical",IF(G379="blocking","Anti-Physical",IF(G379="warding","Anti-Magical","Physical"))))</f>
        <v/>
      </c>
    </row>
    <row r="380">
      <c r="J380">
        <f>IF(G380="","",IFERROR(IF(G380="infusing",IFERROR(LOOKUP(2,1/ISNUMBER(SEARCH(_lookup!$D$3:$D$4,H380)),_lookup!$E$3:$E$4),"INT"),VLOOKUP(G380,_lookup!$A$3:$B$14,2,FALSE)),""))</f>
        <v/>
      </c>
      <c r="K380">
        <f>IF(F380&lt;&gt;"weapon","",IF(G380="miscellaneous","1-4",IF(I380="","",IFERROR(VLOOKUP(I380&amp;"|"&amp;IF(LEFT(H380,2)="2H",2,1)&amp;"|"&amp;IF(G380="slashing",1,0),_lookup!$G$3:$H$18,2,FALSE),""))))</f>
        <v/>
      </c>
      <c r="L380">
        <f>IF(K380="","",IF(OR(G380="channeling",G380="infusing"),"Magical",IF(G380="blocking","Anti-Physical",IF(G380="warding","Anti-Magical","Physical"))))</f>
        <v/>
      </c>
      <c r="O380">
        <f>IF(F380&lt;&gt;"armor","","TBD")</f>
        <v/>
      </c>
      <c r="P380">
        <f>IF(O380="","",IF(OR(G380="channeling",G380="infusing"),"Magical",IF(G380="blocking","Anti-Physical",IF(G380="warding","Anti-Magical","Physical"))))</f>
        <v/>
      </c>
    </row>
    <row r="381">
      <c r="J381">
        <f>IF(G381="","",IFERROR(IF(G381="infusing",IFERROR(LOOKUP(2,1/ISNUMBER(SEARCH(_lookup!$D$3:$D$4,H381)),_lookup!$E$3:$E$4),"INT"),VLOOKUP(G381,_lookup!$A$3:$B$14,2,FALSE)),""))</f>
        <v/>
      </c>
      <c r="K381">
        <f>IF(F381&lt;&gt;"weapon","",IF(G381="miscellaneous","1-4",IF(I381="","",IFERROR(VLOOKUP(I381&amp;"|"&amp;IF(LEFT(H381,2)="2H",2,1)&amp;"|"&amp;IF(G381="slashing",1,0),_lookup!$G$3:$H$18,2,FALSE),""))))</f>
        <v/>
      </c>
      <c r="L381">
        <f>IF(K381="","",IF(OR(G381="channeling",G381="infusing"),"Magical",IF(G381="blocking","Anti-Physical",IF(G381="warding","Anti-Magical","Physical"))))</f>
        <v/>
      </c>
      <c r="O381">
        <f>IF(F381&lt;&gt;"armor","","TBD")</f>
        <v/>
      </c>
      <c r="P381">
        <f>IF(O381="","",IF(OR(G381="channeling",G381="infusing"),"Magical",IF(G381="blocking","Anti-Physical",IF(G381="warding","Anti-Magical","Physical"))))</f>
        <v/>
      </c>
    </row>
    <row r="382">
      <c r="J382">
        <f>IF(G382="","",IFERROR(IF(G382="infusing",IFERROR(LOOKUP(2,1/ISNUMBER(SEARCH(_lookup!$D$3:$D$4,H382)),_lookup!$E$3:$E$4),"INT"),VLOOKUP(G382,_lookup!$A$3:$B$14,2,FALSE)),""))</f>
        <v/>
      </c>
      <c r="K382">
        <f>IF(F382&lt;&gt;"weapon","",IF(G382="miscellaneous","1-4",IF(I382="","",IFERROR(VLOOKUP(I382&amp;"|"&amp;IF(LEFT(H382,2)="2H",2,1)&amp;"|"&amp;IF(G382="slashing",1,0),_lookup!$G$3:$H$18,2,FALSE),""))))</f>
        <v/>
      </c>
      <c r="L382">
        <f>IF(K382="","",IF(OR(G382="channeling",G382="infusing"),"Magical",IF(G382="blocking","Anti-Physical",IF(G382="warding","Anti-Magical","Physical"))))</f>
        <v/>
      </c>
      <c r="O382">
        <f>IF(F382&lt;&gt;"armor","","TBD")</f>
        <v/>
      </c>
      <c r="P382">
        <f>IF(O382="","",IF(OR(G382="channeling",G382="infusing"),"Magical",IF(G382="blocking","Anti-Physical",IF(G382="warding","Anti-Magical","Physical"))))</f>
        <v/>
      </c>
    </row>
    <row r="383">
      <c r="J383">
        <f>IF(G383="","",IFERROR(IF(G383="infusing",IFERROR(LOOKUP(2,1/ISNUMBER(SEARCH(_lookup!$D$3:$D$4,H383)),_lookup!$E$3:$E$4),"INT"),VLOOKUP(G383,_lookup!$A$3:$B$14,2,FALSE)),""))</f>
        <v/>
      </c>
      <c r="K383">
        <f>IF(F383&lt;&gt;"weapon","",IF(G383="miscellaneous","1-4",IF(I383="","",IFERROR(VLOOKUP(I383&amp;"|"&amp;IF(LEFT(H383,2)="2H",2,1)&amp;"|"&amp;IF(G383="slashing",1,0),_lookup!$G$3:$H$18,2,FALSE),""))))</f>
        <v/>
      </c>
      <c r="L383">
        <f>IF(K383="","",IF(OR(G383="channeling",G383="infusing"),"Magical",IF(G383="blocking","Anti-Physical",IF(G383="warding","Anti-Magical","Physical"))))</f>
        <v/>
      </c>
      <c r="O383">
        <f>IF(F383&lt;&gt;"armor","","TBD")</f>
        <v/>
      </c>
      <c r="P383">
        <f>IF(O383="","",IF(OR(G383="channeling",G383="infusing"),"Magical",IF(G383="blocking","Anti-Physical",IF(G383="warding","Anti-Magical","Physical"))))</f>
        <v/>
      </c>
    </row>
    <row r="384">
      <c r="J384">
        <f>IF(G384="","",IFERROR(IF(G384="infusing",IFERROR(LOOKUP(2,1/ISNUMBER(SEARCH(_lookup!$D$3:$D$4,H384)),_lookup!$E$3:$E$4),"INT"),VLOOKUP(G384,_lookup!$A$3:$B$14,2,FALSE)),""))</f>
        <v/>
      </c>
      <c r="K384">
        <f>IF(F384&lt;&gt;"weapon","",IF(G384="miscellaneous","1-4",IF(I384="","",IFERROR(VLOOKUP(I384&amp;"|"&amp;IF(LEFT(H384,2)="2H",2,1)&amp;"|"&amp;IF(G384="slashing",1,0),_lookup!$G$3:$H$18,2,FALSE),""))))</f>
        <v/>
      </c>
      <c r="L384">
        <f>IF(K384="","",IF(OR(G384="channeling",G384="infusing"),"Magical",IF(G384="blocking","Anti-Physical",IF(G384="warding","Anti-Magical","Physical"))))</f>
        <v/>
      </c>
      <c r="O384">
        <f>IF(F384&lt;&gt;"armor","","TBD")</f>
        <v/>
      </c>
      <c r="P384">
        <f>IF(O384="","",IF(OR(G384="channeling",G384="infusing"),"Magical",IF(G384="blocking","Anti-Physical",IF(G384="warding","Anti-Magical","Physical"))))</f>
        <v/>
      </c>
    </row>
    <row r="385">
      <c r="J385">
        <f>IF(G385="","",IFERROR(IF(G385="infusing",IFERROR(LOOKUP(2,1/ISNUMBER(SEARCH(_lookup!$D$3:$D$4,H385)),_lookup!$E$3:$E$4),"INT"),VLOOKUP(G385,_lookup!$A$3:$B$14,2,FALSE)),""))</f>
        <v/>
      </c>
      <c r="K385">
        <f>IF(F385&lt;&gt;"weapon","",IF(G385="miscellaneous","1-4",IF(I385="","",IFERROR(VLOOKUP(I385&amp;"|"&amp;IF(LEFT(H385,2)="2H",2,1)&amp;"|"&amp;IF(G385="slashing",1,0),_lookup!$G$3:$H$18,2,FALSE),""))))</f>
        <v/>
      </c>
      <c r="L385">
        <f>IF(K385="","",IF(OR(G385="channeling",G385="infusing"),"Magical",IF(G385="blocking","Anti-Physical",IF(G385="warding","Anti-Magical","Physical"))))</f>
        <v/>
      </c>
      <c r="O385">
        <f>IF(F385&lt;&gt;"armor","","TBD")</f>
        <v/>
      </c>
      <c r="P385">
        <f>IF(O385="","",IF(OR(G385="channeling",G385="infusing"),"Magical",IF(G385="blocking","Anti-Physical",IF(G385="warding","Anti-Magical","Physical"))))</f>
        <v/>
      </c>
    </row>
    <row r="386">
      <c r="J386">
        <f>IF(G386="","",IFERROR(IF(G386="infusing",IFERROR(LOOKUP(2,1/ISNUMBER(SEARCH(_lookup!$D$3:$D$4,H386)),_lookup!$E$3:$E$4),"INT"),VLOOKUP(G386,_lookup!$A$3:$B$14,2,FALSE)),""))</f>
        <v/>
      </c>
      <c r="K386">
        <f>IF(F386&lt;&gt;"weapon","",IF(G386="miscellaneous","1-4",IF(I386="","",IFERROR(VLOOKUP(I386&amp;"|"&amp;IF(LEFT(H386,2)="2H",2,1)&amp;"|"&amp;IF(G386="slashing",1,0),_lookup!$G$3:$H$18,2,FALSE),""))))</f>
        <v/>
      </c>
      <c r="L386">
        <f>IF(K386="","",IF(OR(G386="channeling",G386="infusing"),"Magical",IF(G386="blocking","Anti-Physical",IF(G386="warding","Anti-Magical","Physical"))))</f>
        <v/>
      </c>
      <c r="O386">
        <f>IF(F386&lt;&gt;"armor","","TBD")</f>
        <v/>
      </c>
      <c r="P386">
        <f>IF(O386="","",IF(OR(G386="channeling",G386="infusing"),"Magical",IF(G386="blocking","Anti-Physical",IF(G386="warding","Anti-Magical","Physical"))))</f>
        <v/>
      </c>
    </row>
    <row r="387">
      <c r="J387">
        <f>IF(G387="","",IFERROR(IF(G387="infusing",IFERROR(LOOKUP(2,1/ISNUMBER(SEARCH(_lookup!$D$3:$D$4,H387)),_lookup!$E$3:$E$4),"INT"),VLOOKUP(G387,_lookup!$A$3:$B$14,2,FALSE)),""))</f>
        <v/>
      </c>
      <c r="K387">
        <f>IF(F387&lt;&gt;"weapon","",IF(G387="miscellaneous","1-4",IF(I387="","",IFERROR(VLOOKUP(I387&amp;"|"&amp;IF(LEFT(H387,2)="2H",2,1)&amp;"|"&amp;IF(G387="slashing",1,0),_lookup!$G$3:$H$18,2,FALSE),""))))</f>
        <v/>
      </c>
      <c r="L387">
        <f>IF(K387="","",IF(OR(G387="channeling",G387="infusing"),"Magical",IF(G387="blocking","Anti-Physical",IF(G387="warding","Anti-Magical","Physical"))))</f>
        <v/>
      </c>
      <c r="O387">
        <f>IF(F387&lt;&gt;"armor","","TBD")</f>
        <v/>
      </c>
      <c r="P387">
        <f>IF(O387="","",IF(OR(G387="channeling",G387="infusing"),"Magical",IF(G387="blocking","Anti-Physical",IF(G387="warding","Anti-Magical","Physical"))))</f>
        <v/>
      </c>
    </row>
    <row r="388">
      <c r="J388">
        <f>IF(G388="","",IFERROR(IF(G388="infusing",IFERROR(LOOKUP(2,1/ISNUMBER(SEARCH(_lookup!$D$3:$D$4,H388)),_lookup!$E$3:$E$4),"INT"),VLOOKUP(G388,_lookup!$A$3:$B$14,2,FALSE)),""))</f>
        <v/>
      </c>
      <c r="K388">
        <f>IF(F388&lt;&gt;"weapon","",IF(G388="miscellaneous","1-4",IF(I388="","",IFERROR(VLOOKUP(I388&amp;"|"&amp;IF(LEFT(H388,2)="2H",2,1)&amp;"|"&amp;IF(G388="slashing",1,0),_lookup!$G$3:$H$18,2,FALSE),""))))</f>
        <v/>
      </c>
      <c r="L388">
        <f>IF(K388="","",IF(OR(G388="channeling",G388="infusing"),"Magical",IF(G388="blocking","Anti-Physical",IF(G388="warding","Anti-Magical","Physical"))))</f>
        <v/>
      </c>
      <c r="O388">
        <f>IF(F388&lt;&gt;"armor","","TBD")</f>
        <v/>
      </c>
      <c r="P388">
        <f>IF(O388="","",IF(OR(G388="channeling",G388="infusing"),"Magical",IF(G388="blocking","Anti-Physical",IF(G388="warding","Anti-Magical","Physical"))))</f>
        <v/>
      </c>
    </row>
    <row r="389">
      <c r="J389">
        <f>IF(G389="","",IFERROR(IF(G389="infusing",IFERROR(LOOKUP(2,1/ISNUMBER(SEARCH(_lookup!$D$3:$D$4,H389)),_lookup!$E$3:$E$4),"INT"),VLOOKUP(G389,_lookup!$A$3:$B$14,2,FALSE)),""))</f>
        <v/>
      </c>
      <c r="K389">
        <f>IF(F389&lt;&gt;"weapon","",IF(G389="miscellaneous","1-4",IF(I389="","",IFERROR(VLOOKUP(I389&amp;"|"&amp;IF(LEFT(H389,2)="2H",2,1)&amp;"|"&amp;IF(G389="slashing",1,0),_lookup!$G$3:$H$18,2,FALSE),""))))</f>
        <v/>
      </c>
      <c r="L389">
        <f>IF(K389="","",IF(OR(G389="channeling",G389="infusing"),"Magical",IF(G389="blocking","Anti-Physical",IF(G389="warding","Anti-Magical","Physical"))))</f>
        <v/>
      </c>
      <c r="O389">
        <f>IF(F389&lt;&gt;"armor","","TBD")</f>
        <v/>
      </c>
      <c r="P389">
        <f>IF(O389="","",IF(OR(G389="channeling",G389="infusing"),"Magical",IF(G389="blocking","Anti-Physical",IF(G389="warding","Anti-Magical","Physical"))))</f>
        <v/>
      </c>
    </row>
    <row r="390">
      <c r="J390">
        <f>IF(G390="","",IFERROR(IF(G390="infusing",IFERROR(LOOKUP(2,1/ISNUMBER(SEARCH(_lookup!$D$3:$D$4,H390)),_lookup!$E$3:$E$4),"INT"),VLOOKUP(G390,_lookup!$A$3:$B$14,2,FALSE)),""))</f>
        <v/>
      </c>
      <c r="K390">
        <f>IF(F390&lt;&gt;"weapon","",IF(G390="miscellaneous","1-4",IF(I390="","",IFERROR(VLOOKUP(I390&amp;"|"&amp;IF(LEFT(H390,2)="2H",2,1)&amp;"|"&amp;IF(G390="slashing",1,0),_lookup!$G$3:$H$18,2,FALSE),""))))</f>
        <v/>
      </c>
      <c r="L390">
        <f>IF(K390="","",IF(OR(G390="channeling",G390="infusing"),"Magical",IF(G390="blocking","Anti-Physical",IF(G390="warding","Anti-Magical","Physical"))))</f>
        <v/>
      </c>
      <c r="O390">
        <f>IF(F390&lt;&gt;"armor","","TBD")</f>
        <v/>
      </c>
      <c r="P390">
        <f>IF(O390="","",IF(OR(G390="channeling",G390="infusing"),"Magical",IF(G390="blocking","Anti-Physical",IF(G390="warding","Anti-Magical","Physical"))))</f>
        <v/>
      </c>
    </row>
    <row r="391">
      <c r="J391">
        <f>IF(G391="","",IFERROR(IF(G391="infusing",IFERROR(LOOKUP(2,1/ISNUMBER(SEARCH(_lookup!$D$3:$D$4,H391)),_lookup!$E$3:$E$4),"INT"),VLOOKUP(G391,_lookup!$A$3:$B$14,2,FALSE)),""))</f>
        <v/>
      </c>
      <c r="K391">
        <f>IF(F391&lt;&gt;"weapon","",IF(G391="miscellaneous","1-4",IF(I391="","",IFERROR(VLOOKUP(I391&amp;"|"&amp;IF(LEFT(H391,2)="2H",2,1)&amp;"|"&amp;IF(G391="slashing",1,0),_lookup!$G$3:$H$18,2,FALSE),""))))</f>
        <v/>
      </c>
      <c r="L391">
        <f>IF(K391="","",IF(OR(G391="channeling",G391="infusing"),"Magical",IF(G391="blocking","Anti-Physical",IF(G391="warding","Anti-Magical","Physical"))))</f>
        <v/>
      </c>
      <c r="O391">
        <f>IF(F391&lt;&gt;"armor","","TBD")</f>
        <v/>
      </c>
      <c r="P391">
        <f>IF(O391="","",IF(OR(G391="channeling",G391="infusing"),"Magical",IF(G391="blocking","Anti-Physical",IF(G391="warding","Anti-Magical","Physical"))))</f>
        <v/>
      </c>
    </row>
    <row r="392">
      <c r="J392">
        <f>IF(G392="","",IFERROR(IF(G392="infusing",IFERROR(LOOKUP(2,1/ISNUMBER(SEARCH(_lookup!$D$3:$D$4,H392)),_lookup!$E$3:$E$4),"INT"),VLOOKUP(G392,_lookup!$A$3:$B$14,2,FALSE)),""))</f>
        <v/>
      </c>
      <c r="K392">
        <f>IF(F392&lt;&gt;"weapon","",IF(G392="miscellaneous","1-4",IF(I392="","",IFERROR(VLOOKUP(I392&amp;"|"&amp;IF(LEFT(H392,2)="2H",2,1)&amp;"|"&amp;IF(G392="slashing",1,0),_lookup!$G$3:$H$18,2,FALSE),""))))</f>
        <v/>
      </c>
      <c r="L392">
        <f>IF(K392="","",IF(OR(G392="channeling",G392="infusing"),"Magical",IF(G392="blocking","Anti-Physical",IF(G392="warding","Anti-Magical","Physical"))))</f>
        <v/>
      </c>
      <c r="O392">
        <f>IF(F392&lt;&gt;"armor","","TBD")</f>
        <v/>
      </c>
      <c r="P392">
        <f>IF(O392="","",IF(OR(G392="channeling",G392="infusing"),"Magical",IF(G392="blocking","Anti-Physical",IF(G392="warding","Anti-Magical","Physical"))))</f>
        <v/>
      </c>
    </row>
    <row r="393">
      <c r="J393">
        <f>IF(G393="","",IFERROR(IF(G393="infusing",IFERROR(LOOKUP(2,1/ISNUMBER(SEARCH(_lookup!$D$3:$D$4,H393)),_lookup!$E$3:$E$4),"INT"),VLOOKUP(G393,_lookup!$A$3:$B$14,2,FALSE)),""))</f>
        <v/>
      </c>
      <c r="K393">
        <f>IF(F393&lt;&gt;"weapon","",IF(G393="miscellaneous","1-4",IF(I393="","",IFERROR(VLOOKUP(I393&amp;"|"&amp;IF(LEFT(H393,2)="2H",2,1)&amp;"|"&amp;IF(G393="slashing",1,0),_lookup!$G$3:$H$18,2,FALSE),""))))</f>
        <v/>
      </c>
      <c r="L393">
        <f>IF(K393="","",IF(OR(G393="channeling",G393="infusing"),"Magical",IF(G393="blocking","Anti-Physical",IF(G393="warding","Anti-Magical","Physical"))))</f>
        <v/>
      </c>
      <c r="O393">
        <f>IF(F393&lt;&gt;"armor","","TBD")</f>
        <v/>
      </c>
      <c r="P393">
        <f>IF(O393="","",IF(OR(G393="channeling",G393="infusing"),"Magical",IF(G393="blocking","Anti-Physical",IF(G393="warding","Anti-Magical","Physical"))))</f>
        <v/>
      </c>
    </row>
    <row r="394">
      <c r="J394">
        <f>IF(G394="","",IFERROR(IF(G394="infusing",IFERROR(LOOKUP(2,1/ISNUMBER(SEARCH(_lookup!$D$3:$D$4,H394)),_lookup!$E$3:$E$4),"INT"),VLOOKUP(G394,_lookup!$A$3:$B$14,2,FALSE)),""))</f>
        <v/>
      </c>
      <c r="K394">
        <f>IF(F394&lt;&gt;"weapon","",IF(G394="miscellaneous","1-4",IF(I394="","",IFERROR(VLOOKUP(I394&amp;"|"&amp;IF(LEFT(H394,2)="2H",2,1)&amp;"|"&amp;IF(G394="slashing",1,0),_lookup!$G$3:$H$18,2,FALSE),""))))</f>
        <v/>
      </c>
      <c r="L394">
        <f>IF(K394="","",IF(OR(G394="channeling",G394="infusing"),"Magical",IF(G394="blocking","Anti-Physical",IF(G394="warding","Anti-Magical","Physical"))))</f>
        <v/>
      </c>
      <c r="O394">
        <f>IF(F394&lt;&gt;"armor","","TBD")</f>
        <v/>
      </c>
      <c r="P394">
        <f>IF(O394="","",IF(OR(G394="channeling",G394="infusing"),"Magical",IF(G394="blocking","Anti-Physical",IF(G394="warding","Anti-Magical","Physical"))))</f>
        <v/>
      </c>
    </row>
    <row r="395">
      <c r="J395">
        <f>IF(G395="","",IFERROR(IF(G395="infusing",IFERROR(LOOKUP(2,1/ISNUMBER(SEARCH(_lookup!$D$3:$D$4,H395)),_lookup!$E$3:$E$4),"INT"),VLOOKUP(G395,_lookup!$A$3:$B$14,2,FALSE)),""))</f>
        <v/>
      </c>
      <c r="K395">
        <f>IF(F395&lt;&gt;"weapon","",IF(G395="miscellaneous","1-4",IF(I395="","",IFERROR(VLOOKUP(I395&amp;"|"&amp;IF(LEFT(H395,2)="2H",2,1)&amp;"|"&amp;IF(G395="slashing",1,0),_lookup!$G$3:$H$18,2,FALSE),""))))</f>
        <v/>
      </c>
      <c r="L395">
        <f>IF(K395="","",IF(OR(G395="channeling",G395="infusing"),"Magical",IF(G395="blocking","Anti-Physical",IF(G395="warding","Anti-Magical","Physical"))))</f>
        <v/>
      </c>
      <c r="O395">
        <f>IF(F395&lt;&gt;"armor","","TBD")</f>
        <v/>
      </c>
      <c r="P395">
        <f>IF(O395="","",IF(OR(G395="channeling",G395="infusing"),"Magical",IF(G395="blocking","Anti-Physical",IF(G395="warding","Anti-Magical","Physical"))))</f>
        <v/>
      </c>
    </row>
    <row r="396">
      <c r="J396">
        <f>IF(G396="","",IFERROR(IF(G396="infusing",IFERROR(LOOKUP(2,1/ISNUMBER(SEARCH(_lookup!$D$3:$D$4,H396)),_lookup!$E$3:$E$4),"INT"),VLOOKUP(G396,_lookup!$A$3:$B$14,2,FALSE)),""))</f>
        <v/>
      </c>
      <c r="K396">
        <f>IF(F396&lt;&gt;"weapon","",IF(G396="miscellaneous","1-4",IF(I396="","",IFERROR(VLOOKUP(I396&amp;"|"&amp;IF(LEFT(H396,2)="2H",2,1)&amp;"|"&amp;IF(G396="slashing",1,0),_lookup!$G$3:$H$18,2,FALSE),""))))</f>
        <v/>
      </c>
      <c r="L396">
        <f>IF(K396="","",IF(OR(G396="channeling",G396="infusing"),"Magical",IF(G396="blocking","Anti-Physical",IF(G396="warding","Anti-Magical","Physical"))))</f>
        <v/>
      </c>
      <c r="O396">
        <f>IF(F396&lt;&gt;"armor","","TBD")</f>
        <v/>
      </c>
      <c r="P396">
        <f>IF(O396="","",IF(OR(G396="channeling",G396="infusing"),"Magical",IF(G396="blocking","Anti-Physical",IF(G396="warding","Anti-Magical","Physical"))))</f>
        <v/>
      </c>
    </row>
    <row r="397">
      <c r="J397">
        <f>IF(G397="","",IFERROR(IF(G397="infusing",IFERROR(LOOKUP(2,1/ISNUMBER(SEARCH(_lookup!$D$3:$D$4,H397)),_lookup!$E$3:$E$4),"INT"),VLOOKUP(G397,_lookup!$A$3:$B$14,2,FALSE)),""))</f>
        <v/>
      </c>
      <c r="K397">
        <f>IF(F397&lt;&gt;"weapon","",IF(G397="miscellaneous","1-4",IF(I397="","",IFERROR(VLOOKUP(I397&amp;"|"&amp;IF(LEFT(H397,2)="2H",2,1)&amp;"|"&amp;IF(G397="slashing",1,0),_lookup!$G$3:$H$18,2,FALSE),""))))</f>
        <v/>
      </c>
      <c r="L397">
        <f>IF(K397="","",IF(OR(G397="channeling",G397="infusing"),"Magical",IF(G397="blocking","Anti-Physical",IF(G397="warding","Anti-Magical","Physical"))))</f>
        <v/>
      </c>
      <c r="O397">
        <f>IF(F397&lt;&gt;"armor","","TBD")</f>
        <v/>
      </c>
      <c r="P397">
        <f>IF(O397="","",IF(OR(G397="channeling",G397="infusing"),"Magical",IF(G397="blocking","Anti-Physical",IF(G397="warding","Anti-Magical","Physical"))))</f>
        <v/>
      </c>
    </row>
    <row r="398">
      <c r="J398">
        <f>IF(G398="","",IFERROR(IF(G398="infusing",IFERROR(LOOKUP(2,1/ISNUMBER(SEARCH(_lookup!$D$3:$D$4,H398)),_lookup!$E$3:$E$4),"INT"),VLOOKUP(G398,_lookup!$A$3:$B$14,2,FALSE)),""))</f>
        <v/>
      </c>
      <c r="K398">
        <f>IF(F398&lt;&gt;"weapon","",IF(G398="miscellaneous","1-4",IF(I398="","",IFERROR(VLOOKUP(I398&amp;"|"&amp;IF(LEFT(H398,2)="2H",2,1)&amp;"|"&amp;IF(G398="slashing",1,0),_lookup!$G$3:$H$18,2,FALSE),""))))</f>
        <v/>
      </c>
      <c r="L398">
        <f>IF(K398="","",IF(OR(G398="channeling",G398="infusing"),"Magical",IF(G398="blocking","Anti-Physical",IF(G398="warding","Anti-Magical","Physical"))))</f>
        <v/>
      </c>
      <c r="O398">
        <f>IF(F398&lt;&gt;"armor","","TBD")</f>
        <v/>
      </c>
      <c r="P398">
        <f>IF(O398="","",IF(OR(G398="channeling",G398="infusing"),"Magical",IF(G398="blocking","Anti-Physical",IF(G398="warding","Anti-Magical","Physical"))))</f>
        <v/>
      </c>
    </row>
    <row r="399">
      <c r="J399">
        <f>IF(G399="","",IFERROR(IF(G399="infusing",IFERROR(LOOKUP(2,1/ISNUMBER(SEARCH(_lookup!$D$3:$D$4,H399)),_lookup!$E$3:$E$4),"INT"),VLOOKUP(G399,_lookup!$A$3:$B$14,2,FALSE)),""))</f>
        <v/>
      </c>
      <c r="K399">
        <f>IF(F399&lt;&gt;"weapon","",IF(G399="miscellaneous","1-4",IF(I399="","",IFERROR(VLOOKUP(I399&amp;"|"&amp;IF(LEFT(H399,2)="2H",2,1)&amp;"|"&amp;IF(G399="slashing",1,0),_lookup!$G$3:$H$18,2,FALSE),""))))</f>
        <v/>
      </c>
      <c r="L399">
        <f>IF(K399="","",IF(OR(G399="channeling",G399="infusing"),"Magical",IF(G399="blocking","Anti-Physical",IF(G399="warding","Anti-Magical","Physical"))))</f>
        <v/>
      </c>
      <c r="O399">
        <f>IF(F399&lt;&gt;"armor","","TBD")</f>
        <v/>
      </c>
      <c r="P399">
        <f>IF(O399="","",IF(OR(G399="channeling",G399="infusing"),"Magical",IF(G399="blocking","Anti-Physical",IF(G399="warding","Anti-Magical","Physical"))))</f>
        <v/>
      </c>
    </row>
    <row r="400">
      <c r="J400">
        <f>IF(G400="","",IFERROR(IF(G400="infusing",IFERROR(LOOKUP(2,1/ISNUMBER(SEARCH(_lookup!$D$3:$D$4,H400)),_lookup!$E$3:$E$4),"INT"),VLOOKUP(G400,_lookup!$A$3:$B$14,2,FALSE)),""))</f>
        <v/>
      </c>
      <c r="K400">
        <f>IF(F400&lt;&gt;"weapon","",IF(G400="miscellaneous","1-4",IF(I400="","",IFERROR(VLOOKUP(I400&amp;"|"&amp;IF(LEFT(H400,2)="2H",2,1)&amp;"|"&amp;IF(G400="slashing",1,0),_lookup!$G$3:$H$18,2,FALSE),""))))</f>
        <v/>
      </c>
      <c r="L400">
        <f>IF(K400="","",IF(OR(G400="channeling",G400="infusing"),"Magical",IF(G400="blocking","Anti-Physical",IF(G400="warding","Anti-Magical","Physical"))))</f>
        <v/>
      </c>
      <c r="O400">
        <f>IF(F400&lt;&gt;"armor","","TBD")</f>
        <v/>
      </c>
      <c r="P400">
        <f>IF(O400="","",IF(OR(G400="channeling",G400="infusing"),"Magical",IF(G400="blocking","Anti-Physical",IF(G400="warding","Anti-Magical","Physical"))))</f>
        <v/>
      </c>
    </row>
    <row r="401">
      <c r="J401">
        <f>IF(G401="","",IFERROR(IF(G401="infusing",IFERROR(LOOKUP(2,1/ISNUMBER(SEARCH(_lookup!$D$3:$D$4,H401)),_lookup!$E$3:$E$4),"INT"),VLOOKUP(G401,_lookup!$A$3:$B$14,2,FALSE)),""))</f>
        <v/>
      </c>
      <c r="K401">
        <f>IF(F401&lt;&gt;"weapon","",IF(G401="miscellaneous","1-4",IF(I401="","",IFERROR(VLOOKUP(I401&amp;"|"&amp;IF(LEFT(H401,2)="2H",2,1)&amp;"|"&amp;IF(G401="slashing",1,0),_lookup!$G$3:$H$18,2,FALSE),""))))</f>
        <v/>
      </c>
      <c r="L401">
        <f>IF(K401="","",IF(OR(G401="channeling",G401="infusing"),"Magical",IF(G401="blocking","Anti-Physical",IF(G401="warding","Anti-Magical","Physical"))))</f>
        <v/>
      </c>
      <c r="O401">
        <f>IF(F401&lt;&gt;"armor","","TBD")</f>
        <v/>
      </c>
      <c r="P401">
        <f>IF(O401="","",IF(OR(G401="channeling",G401="infusing"),"Magical",IF(G401="blocking","Anti-Physical",IF(G401="warding","Anti-Magical","Physical"))))</f>
        <v/>
      </c>
    </row>
    <row r="402">
      <c r="J402">
        <f>IF(G402="","",IFERROR(IF(G402="infusing",IFERROR(LOOKUP(2,1/ISNUMBER(SEARCH(_lookup!$D$3:$D$4,H402)),_lookup!$E$3:$E$4),"INT"),VLOOKUP(G402,_lookup!$A$3:$B$14,2,FALSE)),""))</f>
        <v/>
      </c>
      <c r="K402">
        <f>IF(F402&lt;&gt;"weapon","",IF(G402="miscellaneous","1-4",IF(I402="","",IFERROR(VLOOKUP(I402&amp;"|"&amp;IF(LEFT(H402,2)="2H",2,1)&amp;"|"&amp;IF(G402="slashing",1,0),_lookup!$G$3:$H$18,2,FALSE),""))))</f>
        <v/>
      </c>
      <c r="L402">
        <f>IF(K402="","",IF(OR(G402="channeling",G402="infusing"),"Magical",IF(G402="blocking","Anti-Physical",IF(G402="warding","Anti-Magical","Physical"))))</f>
        <v/>
      </c>
      <c r="O402">
        <f>IF(F402&lt;&gt;"armor","","TBD")</f>
        <v/>
      </c>
      <c r="P402">
        <f>IF(O402="","",IF(OR(G402="channeling",G402="infusing"),"Magical",IF(G402="blocking","Anti-Physical",IF(G402="warding","Anti-Magical","Physical"))))</f>
        <v/>
      </c>
    </row>
    <row r="403">
      <c r="J403">
        <f>IF(G403="","",IFERROR(IF(G403="infusing",IFERROR(LOOKUP(2,1/ISNUMBER(SEARCH(_lookup!$D$3:$D$4,H403)),_lookup!$E$3:$E$4),"INT"),VLOOKUP(G403,_lookup!$A$3:$B$14,2,FALSE)),""))</f>
        <v/>
      </c>
      <c r="K403">
        <f>IF(F403&lt;&gt;"weapon","",IF(G403="miscellaneous","1-4",IF(I403="","",IFERROR(VLOOKUP(I403&amp;"|"&amp;IF(LEFT(H403,2)="2H",2,1)&amp;"|"&amp;IF(G403="slashing",1,0),_lookup!$G$3:$H$18,2,FALSE),""))))</f>
        <v/>
      </c>
      <c r="L403">
        <f>IF(K403="","",IF(OR(G403="channeling",G403="infusing"),"Magical",IF(G403="blocking","Anti-Physical",IF(G403="warding","Anti-Magical","Physical"))))</f>
        <v/>
      </c>
      <c r="O403">
        <f>IF(F403&lt;&gt;"armor","","TBD")</f>
        <v/>
      </c>
      <c r="P403">
        <f>IF(O403="","",IF(OR(G403="channeling",G403="infusing"),"Magical",IF(G403="blocking","Anti-Physical",IF(G403="warding","Anti-Magical","Physical"))))</f>
        <v/>
      </c>
    </row>
    <row r="404">
      <c r="J404">
        <f>IF(G404="","",IFERROR(IF(G404="infusing",IFERROR(LOOKUP(2,1/ISNUMBER(SEARCH(_lookup!$D$3:$D$4,H404)),_lookup!$E$3:$E$4),"INT"),VLOOKUP(G404,_lookup!$A$3:$B$14,2,FALSE)),""))</f>
        <v/>
      </c>
      <c r="K404">
        <f>IF(F404&lt;&gt;"weapon","",IF(G404="miscellaneous","1-4",IF(I404="","",IFERROR(VLOOKUP(I404&amp;"|"&amp;IF(LEFT(H404,2)="2H",2,1)&amp;"|"&amp;IF(G404="slashing",1,0),_lookup!$G$3:$H$18,2,FALSE),""))))</f>
        <v/>
      </c>
      <c r="L404">
        <f>IF(K404="","",IF(OR(G404="channeling",G404="infusing"),"Magical",IF(G404="blocking","Anti-Physical",IF(G404="warding","Anti-Magical","Physical"))))</f>
        <v/>
      </c>
      <c r="O404">
        <f>IF(F404&lt;&gt;"armor","","TBD")</f>
        <v/>
      </c>
      <c r="P404">
        <f>IF(O404="","",IF(OR(G404="channeling",G404="infusing"),"Magical",IF(G404="blocking","Anti-Physical",IF(G404="warding","Anti-Magical","Physical"))))</f>
        <v/>
      </c>
    </row>
    <row r="405">
      <c r="J405">
        <f>IF(G405="","",IFERROR(IF(G405="infusing",IFERROR(LOOKUP(2,1/ISNUMBER(SEARCH(_lookup!$D$3:$D$4,H405)),_lookup!$E$3:$E$4),"INT"),VLOOKUP(G405,_lookup!$A$3:$B$14,2,FALSE)),""))</f>
        <v/>
      </c>
      <c r="K405">
        <f>IF(F405&lt;&gt;"weapon","",IF(G405="miscellaneous","1-4",IF(I405="","",IFERROR(VLOOKUP(I405&amp;"|"&amp;IF(LEFT(H405,2)="2H",2,1)&amp;"|"&amp;IF(G405="slashing",1,0),_lookup!$G$3:$H$18,2,FALSE),""))))</f>
        <v/>
      </c>
      <c r="L405">
        <f>IF(K405="","",IF(OR(G405="channeling",G405="infusing"),"Magical",IF(G405="blocking","Anti-Physical",IF(G405="warding","Anti-Magical","Physical"))))</f>
        <v/>
      </c>
      <c r="O405">
        <f>IF(F405&lt;&gt;"armor","","TBD")</f>
        <v/>
      </c>
      <c r="P405">
        <f>IF(O405="","",IF(OR(G405="channeling",G405="infusing"),"Magical",IF(G405="blocking","Anti-Physical",IF(G405="warding","Anti-Magical","Physical"))))</f>
        <v/>
      </c>
    </row>
    <row r="406">
      <c r="J406">
        <f>IF(G406="","",IFERROR(IF(G406="infusing",IFERROR(LOOKUP(2,1/ISNUMBER(SEARCH(_lookup!$D$3:$D$4,H406)),_lookup!$E$3:$E$4),"INT"),VLOOKUP(G406,_lookup!$A$3:$B$14,2,FALSE)),""))</f>
        <v/>
      </c>
      <c r="K406">
        <f>IF(F406&lt;&gt;"weapon","",IF(G406="miscellaneous","1-4",IF(I406="","",IFERROR(VLOOKUP(I406&amp;"|"&amp;IF(LEFT(H406,2)="2H",2,1)&amp;"|"&amp;IF(G406="slashing",1,0),_lookup!$G$3:$H$18,2,FALSE),""))))</f>
        <v/>
      </c>
      <c r="L406">
        <f>IF(K406="","",IF(OR(G406="channeling",G406="infusing"),"Magical",IF(G406="blocking","Anti-Physical",IF(G406="warding","Anti-Magical","Physical"))))</f>
        <v/>
      </c>
      <c r="O406">
        <f>IF(F406&lt;&gt;"armor","","TBD")</f>
        <v/>
      </c>
      <c r="P406">
        <f>IF(O406="","",IF(OR(G406="channeling",G406="infusing"),"Magical",IF(G406="blocking","Anti-Physical",IF(G406="warding","Anti-Magical","Physical"))))</f>
        <v/>
      </c>
    </row>
    <row r="407">
      <c r="J407">
        <f>IF(G407="","",IFERROR(IF(G407="infusing",IFERROR(LOOKUP(2,1/ISNUMBER(SEARCH(_lookup!$D$3:$D$4,H407)),_lookup!$E$3:$E$4),"INT"),VLOOKUP(G407,_lookup!$A$3:$B$14,2,FALSE)),""))</f>
        <v/>
      </c>
      <c r="K407">
        <f>IF(F407&lt;&gt;"weapon","",IF(G407="miscellaneous","1-4",IF(I407="","",IFERROR(VLOOKUP(I407&amp;"|"&amp;IF(LEFT(H407,2)="2H",2,1)&amp;"|"&amp;IF(G407="slashing",1,0),_lookup!$G$3:$H$18,2,FALSE),""))))</f>
        <v/>
      </c>
      <c r="L407">
        <f>IF(K407="","",IF(OR(G407="channeling",G407="infusing"),"Magical",IF(G407="blocking","Anti-Physical",IF(G407="warding","Anti-Magical","Physical"))))</f>
        <v/>
      </c>
      <c r="O407">
        <f>IF(F407&lt;&gt;"armor","","TBD")</f>
        <v/>
      </c>
      <c r="P407">
        <f>IF(O407="","",IF(OR(G407="channeling",G407="infusing"),"Magical",IF(G407="blocking","Anti-Physical",IF(G407="warding","Anti-Magical","Physical"))))</f>
        <v/>
      </c>
    </row>
    <row r="408">
      <c r="J408">
        <f>IF(G408="","",IFERROR(IF(G408="infusing",IFERROR(LOOKUP(2,1/ISNUMBER(SEARCH(_lookup!$D$3:$D$4,H408)),_lookup!$E$3:$E$4),"INT"),VLOOKUP(G408,_lookup!$A$3:$B$14,2,FALSE)),""))</f>
        <v/>
      </c>
      <c r="K408">
        <f>IF(F408&lt;&gt;"weapon","",IF(G408="miscellaneous","1-4",IF(I408="","",IFERROR(VLOOKUP(I408&amp;"|"&amp;IF(LEFT(H408,2)="2H",2,1)&amp;"|"&amp;IF(G408="slashing",1,0),_lookup!$G$3:$H$18,2,FALSE),""))))</f>
        <v/>
      </c>
      <c r="L408">
        <f>IF(K408="","",IF(OR(G408="channeling",G408="infusing"),"Magical",IF(G408="blocking","Anti-Physical",IF(G408="warding","Anti-Magical","Physical"))))</f>
        <v/>
      </c>
      <c r="O408">
        <f>IF(F408&lt;&gt;"armor","","TBD")</f>
        <v/>
      </c>
      <c r="P408">
        <f>IF(O408="","",IF(OR(G408="channeling",G408="infusing"),"Magical",IF(G408="blocking","Anti-Physical",IF(G408="warding","Anti-Magical","Physical"))))</f>
        <v/>
      </c>
    </row>
    <row r="409">
      <c r="J409">
        <f>IF(G409="","",IFERROR(IF(G409="infusing",IFERROR(LOOKUP(2,1/ISNUMBER(SEARCH(_lookup!$D$3:$D$4,H409)),_lookup!$E$3:$E$4),"INT"),VLOOKUP(G409,_lookup!$A$3:$B$14,2,FALSE)),""))</f>
        <v/>
      </c>
      <c r="K409">
        <f>IF(F409&lt;&gt;"weapon","",IF(G409="miscellaneous","1-4",IF(I409="","",IFERROR(VLOOKUP(I409&amp;"|"&amp;IF(LEFT(H409,2)="2H",2,1)&amp;"|"&amp;IF(G409="slashing",1,0),_lookup!$G$3:$H$18,2,FALSE),""))))</f>
        <v/>
      </c>
      <c r="L409">
        <f>IF(K409="","",IF(OR(G409="channeling",G409="infusing"),"Magical",IF(G409="blocking","Anti-Physical",IF(G409="warding","Anti-Magical","Physical"))))</f>
        <v/>
      </c>
      <c r="O409">
        <f>IF(F409&lt;&gt;"armor","","TBD")</f>
        <v/>
      </c>
      <c r="P409">
        <f>IF(O409="","",IF(OR(G409="channeling",G409="infusing"),"Magical",IF(G409="blocking","Anti-Physical",IF(G409="warding","Anti-Magical","Physical"))))</f>
        <v/>
      </c>
    </row>
    <row r="410">
      <c r="J410">
        <f>IF(G410="","",IFERROR(IF(G410="infusing",IFERROR(LOOKUP(2,1/ISNUMBER(SEARCH(_lookup!$D$3:$D$4,H410)),_lookup!$E$3:$E$4),"INT"),VLOOKUP(G410,_lookup!$A$3:$B$14,2,FALSE)),""))</f>
        <v/>
      </c>
      <c r="K410">
        <f>IF(F410&lt;&gt;"weapon","",IF(G410="miscellaneous","1-4",IF(I410="","",IFERROR(VLOOKUP(I410&amp;"|"&amp;IF(LEFT(H410,2)="2H",2,1)&amp;"|"&amp;IF(G410="slashing",1,0),_lookup!$G$3:$H$18,2,FALSE),""))))</f>
        <v/>
      </c>
      <c r="L410">
        <f>IF(K410="","",IF(OR(G410="channeling",G410="infusing"),"Magical",IF(G410="blocking","Anti-Physical",IF(G410="warding","Anti-Magical","Physical"))))</f>
        <v/>
      </c>
      <c r="O410">
        <f>IF(F410&lt;&gt;"armor","","TBD")</f>
        <v/>
      </c>
      <c r="P410">
        <f>IF(O410="","",IF(OR(G410="channeling",G410="infusing"),"Magical",IF(G410="blocking","Anti-Physical",IF(G410="warding","Anti-Magical","Physical"))))</f>
        <v/>
      </c>
    </row>
    <row r="411">
      <c r="J411">
        <f>IF(G411="","",IFERROR(IF(G411="infusing",IFERROR(LOOKUP(2,1/ISNUMBER(SEARCH(_lookup!$D$3:$D$4,H411)),_lookup!$E$3:$E$4),"INT"),VLOOKUP(G411,_lookup!$A$3:$B$14,2,FALSE)),""))</f>
        <v/>
      </c>
      <c r="K411">
        <f>IF(F411&lt;&gt;"weapon","",IF(G411="miscellaneous","1-4",IF(I411="","",IFERROR(VLOOKUP(I411&amp;"|"&amp;IF(LEFT(H411,2)="2H",2,1)&amp;"|"&amp;IF(G411="slashing",1,0),_lookup!$G$3:$H$18,2,FALSE),""))))</f>
        <v/>
      </c>
      <c r="L411">
        <f>IF(K411="","",IF(OR(G411="channeling",G411="infusing"),"Magical",IF(G411="blocking","Anti-Physical",IF(G411="warding","Anti-Magical","Physical"))))</f>
        <v/>
      </c>
      <c r="O411">
        <f>IF(F411&lt;&gt;"armor","","TBD")</f>
        <v/>
      </c>
      <c r="P411">
        <f>IF(O411="","",IF(OR(G411="channeling",G411="infusing"),"Magical",IF(G411="blocking","Anti-Physical",IF(G411="warding","Anti-Magical","Physical"))))</f>
        <v/>
      </c>
    </row>
    <row r="412">
      <c r="J412">
        <f>IF(G412="","",IFERROR(IF(G412="infusing",IFERROR(LOOKUP(2,1/ISNUMBER(SEARCH(_lookup!$D$3:$D$4,H412)),_lookup!$E$3:$E$4),"INT"),VLOOKUP(G412,_lookup!$A$3:$B$14,2,FALSE)),""))</f>
        <v/>
      </c>
      <c r="K412">
        <f>IF(F412&lt;&gt;"weapon","",IF(G412="miscellaneous","1-4",IF(I412="","",IFERROR(VLOOKUP(I412&amp;"|"&amp;IF(LEFT(H412,2)="2H",2,1)&amp;"|"&amp;IF(G412="slashing",1,0),_lookup!$G$3:$H$18,2,FALSE),""))))</f>
        <v/>
      </c>
      <c r="L412">
        <f>IF(K412="","",IF(OR(G412="channeling",G412="infusing"),"Magical",IF(G412="blocking","Anti-Physical",IF(G412="warding","Anti-Magical","Physical"))))</f>
        <v/>
      </c>
      <c r="O412">
        <f>IF(F412&lt;&gt;"armor","","TBD")</f>
        <v/>
      </c>
      <c r="P412">
        <f>IF(O412="","",IF(OR(G412="channeling",G412="infusing"),"Magical",IF(G412="blocking","Anti-Physical",IF(G412="warding","Anti-Magical","Physical"))))</f>
        <v/>
      </c>
    </row>
    <row r="413">
      <c r="J413">
        <f>IF(G413="","",IFERROR(IF(G413="infusing",IFERROR(LOOKUP(2,1/ISNUMBER(SEARCH(_lookup!$D$3:$D$4,H413)),_lookup!$E$3:$E$4),"INT"),VLOOKUP(G413,_lookup!$A$3:$B$14,2,FALSE)),""))</f>
        <v/>
      </c>
      <c r="K413">
        <f>IF(F413&lt;&gt;"weapon","",IF(G413="miscellaneous","1-4",IF(I413="","",IFERROR(VLOOKUP(I413&amp;"|"&amp;IF(LEFT(H413,2)="2H",2,1)&amp;"|"&amp;IF(G413="slashing",1,0),_lookup!$G$3:$H$18,2,FALSE),""))))</f>
        <v/>
      </c>
      <c r="L413">
        <f>IF(K413="","",IF(OR(G413="channeling",G413="infusing"),"Magical",IF(G413="blocking","Anti-Physical",IF(G413="warding","Anti-Magical","Physical"))))</f>
        <v/>
      </c>
      <c r="O413">
        <f>IF(F413&lt;&gt;"armor","","TBD")</f>
        <v/>
      </c>
      <c r="P413">
        <f>IF(O413="","",IF(OR(G413="channeling",G413="infusing"),"Magical",IF(G413="blocking","Anti-Physical",IF(G413="warding","Anti-Magical","Physical"))))</f>
        <v/>
      </c>
    </row>
    <row r="414">
      <c r="J414">
        <f>IF(G414="","",IFERROR(IF(G414="infusing",IFERROR(LOOKUP(2,1/ISNUMBER(SEARCH(_lookup!$D$3:$D$4,H414)),_lookup!$E$3:$E$4),"INT"),VLOOKUP(G414,_lookup!$A$3:$B$14,2,FALSE)),""))</f>
        <v/>
      </c>
      <c r="K414">
        <f>IF(F414&lt;&gt;"weapon","",IF(G414="miscellaneous","1-4",IF(I414="","",IFERROR(VLOOKUP(I414&amp;"|"&amp;IF(LEFT(H414,2)="2H",2,1)&amp;"|"&amp;IF(G414="slashing",1,0),_lookup!$G$3:$H$18,2,FALSE),""))))</f>
        <v/>
      </c>
      <c r="L414">
        <f>IF(K414="","",IF(OR(G414="channeling",G414="infusing"),"Magical",IF(G414="blocking","Anti-Physical",IF(G414="warding","Anti-Magical","Physical"))))</f>
        <v/>
      </c>
      <c r="O414">
        <f>IF(F414&lt;&gt;"armor","","TBD")</f>
        <v/>
      </c>
      <c r="P414">
        <f>IF(O414="","",IF(OR(G414="channeling",G414="infusing"),"Magical",IF(G414="blocking","Anti-Physical",IF(G414="warding","Anti-Magical","Physical"))))</f>
        <v/>
      </c>
    </row>
    <row r="415">
      <c r="J415">
        <f>IF(G415="","",IFERROR(IF(G415="infusing",IFERROR(LOOKUP(2,1/ISNUMBER(SEARCH(_lookup!$D$3:$D$4,H415)),_lookup!$E$3:$E$4),"INT"),VLOOKUP(G415,_lookup!$A$3:$B$14,2,FALSE)),""))</f>
        <v/>
      </c>
      <c r="K415">
        <f>IF(F415&lt;&gt;"weapon","",IF(G415="miscellaneous","1-4",IF(I415="","",IFERROR(VLOOKUP(I415&amp;"|"&amp;IF(LEFT(H415,2)="2H",2,1)&amp;"|"&amp;IF(G415="slashing",1,0),_lookup!$G$3:$H$18,2,FALSE),""))))</f>
        <v/>
      </c>
      <c r="L415">
        <f>IF(K415="","",IF(OR(G415="channeling",G415="infusing"),"Magical",IF(G415="blocking","Anti-Physical",IF(G415="warding","Anti-Magical","Physical"))))</f>
        <v/>
      </c>
      <c r="O415">
        <f>IF(F415&lt;&gt;"armor","","TBD")</f>
        <v/>
      </c>
      <c r="P415">
        <f>IF(O415="","",IF(OR(G415="channeling",G415="infusing"),"Magical",IF(G415="blocking","Anti-Physical",IF(G415="warding","Anti-Magical","Physical"))))</f>
        <v/>
      </c>
    </row>
    <row r="416">
      <c r="J416">
        <f>IF(G416="","",IFERROR(IF(G416="infusing",IFERROR(LOOKUP(2,1/ISNUMBER(SEARCH(_lookup!$D$3:$D$4,H416)),_lookup!$E$3:$E$4),"INT"),VLOOKUP(G416,_lookup!$A$3:$B$14,2,FALSE)),""))</f>
        <v/>
      </c>
      <c r="K416">
        <f>IF(F416&lt;&gt;"weapon","",IF(G416="miscellaneous","1-4",IF(I416="","",IFERROR(VLOOKUP(I416&amp;"|"&amp;IF(LEFT(H416,2)="2H",2,1)&amp;"|"&amp;IF(G416="slashing",1,0),_lookup!$G$3:$H$18,2,FALSE),""))))</f>
        <v/>
      </c>
      <c r="L416">
        <f>IF(K416="","",IF(OR(G416="channeling",G416="infusing"),"Magical",IF(G416="blocking","Anti-Physical",IF(G416="warding","Anti-Magical","Physical"))))</f>
        <v/>
      </c>
      <c r="O416">
        <f>IF(F416&lt;&gt;"armor","","TBD")</f>
        <v/>
      </c>
      <c r="P416">
        <f>IF(O416="","",IF(OR(G416="channeling",G416="infusing"),"Magical",IF(G416="blocking","Anti-Physical",IF(G416="warding","Anti-Magical","Physical"))))</f>
        <v/>
      </c>
    </row>
    <row r="417">
      <c r="J417">
        <f>IF(G417="","",IFERROR(IF(G417="infusing",IFERROR(LOOKUP(2,1/ISNUMBER(SEARCH(_lookup!$D$3:$D$4,H417)),_lookup!$E$3:$E$4),"INT"),VLOOKUP(G417,_lookup!$A$3:$B$14,2,FALSE)),""))</f>
        <v/>
      </c>
      <c r="K417">
        <f>IF(F417&lt;&gt;"weapon","",IF(G417="miscellaneous","1-4",IF(I417="","",IFERROR(VLOOKUP(I417&amp;"|"&amp;IF(LEFT(H417,2)="2H",2,1)&amp;"|"&amp;IF(G417="slashing",1,0),_lookup!$G$3:$H$18,2,FALSE),""))))</f>
        <v/>
      </c>
      <c r="L417">
        <f>IF(K417="","",IF(OR(G417="channeling",G417="infusing"),"Magical",IF(G417="blocking","Anti-Physical",IF(G417="warding","Anti-Magical","Physical"))))</f>
        <v/>
      </c>
      <c r="O417">
        <f>IF(F417&lt;&gt;"armor","","TBD")</f>
        <v/>
      </c>
      <c r="P417">
        <f>IF(O417="","",IF(OR(G417="channeling",G417="infusing"),"Magical",IF(G417="blocking","Anti-Physical",IF(G417="warding","Anti-Magical","Physical"))))</f>
        <v/>
      </c>
    </row>
    <row r="418">
      <c r="J418">
        <f>IF(G418="","",IFERROR(IF(G418="infusing",IFERROR(LOOKUP(2,1/ISNUMBER(SEARCH(_lookup!$D$3:$D$4,H418)),_lookup!$E$3:$E$4),"INT"),VLOOKUP(G418,_lookup!$A$3:$B$14,2,FALSE)),""))</f>
        <v/>
      </c>
      <c r="K418">
        <f>IF(F418&lt;&gt;"weapon","",IF(G418="miscellaneous","1-4",IF(I418="","",IFERROR(VLOOKUP(I418&amp;"|"&amp;IF(LEFT(H418,2)="2H",2,1)&amp;"|"&amp;IF(G418="slashing",1,0),_lookup!$G$3:$H$18,2,FALSE),""))))</f>
        <v/>
      </c>
      <c r="L418">
        <f>IF(K418="","",IF(OR(G418="channeling",G418="infusing"),"Magical",IF(G418="blocking","Anti-Physical",IF(G418="warding","Anti-Magical","Physical"))))</f>
        <v/>
      </c>
      <c r="O418">
        <f>IF(F418&lt;&gt;"armor","","TBD")</f>
        <v/>
      </c>
      <c r="P418">
        <f>IF(O418="","",IF(OR(G418="channeling",G418="infusing"),"Magical",IF(G418="blocking","Anti-Physical",IF(G418="warding","Anti-Magical","Physical"))))</f>
        <v/>
      </c>
    </row>
    <row r="419">
      <c r="J419">
        <f>IF(G419="","",IFERROR(IF(G419="infusing",IFERROR(LOOKUP(2,1/ISNUMBER(SEARCH(_lookup!$D$3:$D$4,H419)),_lookup!$E$3:$E$4),"INT"),VLOOKUP(G419,_lookup!$A$3:$B$14,2,FALSE)),""))</f>
        <v/>
      </c>
      <c r="K419">
        <f>IF(F419&lt;&gt;"weapon","",IF(G419="miscellaneous","1-4",IF(I419="","",IFERROR(VLOOKUP(I419&amp;"|"&amp;IF(LEFT(H419,2)="2H",2,1)&amp;"|"&amp;IF(G419="slashing",1,0),_lookup!$G$3:$H$18,2,FALSE),""))))</f>
        <v/>
      </c>
      <c r="L419">
        <f>IF(K419="","",IF(OR(G419="channeling",G419="infusing"),"Magical",IF(G419="blocking","Anti-Physical",IF(G419="warding","Anti-Magical","Physical"))))</f>
        <v/>
      </c>
      <c r="O419">
        <f>IF(F419&lt;&gt;"armor","","TBD")</f>
        <v/>
      </c>
      <c r="P419">
        <f>IF(O419="","",IF(OR(G419="channeling",G419="infusing"),"Magical",IF(G419="blocking","Anti-Physical",IF(G419="warding","Anti-Magical","Physical"))))</f>
        <v/>
      </c>
    </row>
    <row r="420">
      <c r="J420">
        <f>IF(G420="","",IFERROR(IF(G420="infusing",IFERROR(LOOKUP(2,1/ISNUMBER(SEARCH(_lookup!$D$3:$D$4,H420)),_lookup!$E$3:$E$4),"INT"),VLOOKUP(G420,_lookup!$A$3:$B$14,2,FALSE)),""))</f>
        <v/>
      </c>
      <c r="K420">
        <f>IF(F420&lt;&gt;"weapon","",IF(G420="miscellaneous","1-4",IF(I420="","",IFERROR(VLOOKUP(I420&amp;"|"&amp;IF(LEFT(H420,2)="2H",2,1)&amp;"|"&amp;IF(G420="slashing",1,0),_lookup!$G$3:$H$18,2,FALSE),""))))</f>
        <v/>
      </c>
      <c r="L420">
        <f>IF(K420="","",IF(OR(G420="channeling",G420="infusing"),"Magical",IF(G420="blocking","Anti-Physical",IF(G420="warding","Anti-Magical","Physical"))))</f>
        <v/>
      </c>
      <c r="O420">
        <f>IF(F420&lt;&gt;"armor","","TBD")</f>
        <v/>
      </c>
      <c r="P420">
        <f>IF(O420="","",IF(OR(G420="channeling",G420="infusing"),"Magical",IF(G420="blocking","Anti-Physical",IF(G420="warding","Anti-Magical","Physical"))))</f>
        <v/>
      </c>
    </row>
    <row r="421">
      <c r="J421">
        <f>IF(G421="","",IFERROR(IF(G421="infusing",IFERROR(LOOKUP(2,1/ISNUMBER(SEARCH(_lookup!$D$3:$D$4,H421)),_lookup!$E$3:$E$4),"INT"),VLOOKUP(G421,_lookup!$A$3:$B$14,2,FALSE)),""))</f>
        <v/>
      </c>
      <c r="K421">
        <f>IF(F421&lt;&gt;"weapon","",IF(G421="miscellaneous","1-4",IF(I421="","",IFERROR(VLOOKUP(I421&amp;"|"&amp;IF(LEFT(H421,2)="2H",2,1)&amp;"|"&amp;IF(G421="slashing",1,0),_lookup!$G$3:$H$18,2,FALSE),""))))</f>
        <v/>
      </c>
      <c r="L421">
        <f>IF(K421="","",IF(OR(G421="channeling",G421="infusing"),"Magical",IF(G421="blocking","Anti-Physical",IF(G421="warding","Anti-Magical","Physical"))))</f>
        <v/>
      </c>
      <c r="O421">
        <f>IF(F421&lt;&gt;"armor","","TBD")</f>
        <v/>
      </c>
      <c r="P421">
        <f>IF(O421="","",IF(OR(G421="channeling",G421="infusing"),"Magical",IF(G421="blocking","Anti-Physical",IF(G421="warding","Anti-Magical","Physical"))))</f>
        <v/>
      </c>
    </row>
    <row r="422">
      <c r="J422">
        <f>IF(G422="","",IFERROR(IF(G422="infusing",IFERROR(LOOKUP(2,1/ISNUMBER(SEARCH(_lookup!$D$3:$D$4,H422)),_lookup!$E$3:$E$4),"INT"),VLOOKUP(G422,_lookup!$A$3:$B$14,2,FALSE)),""))</f>
        <v/>
      </c>
      <c r="K422">
        <f>IF(F422&lt;&gt;"weapon","",IF(G422="miscellaneous","1-4",IF(I422="","",IFERROR(VLOOKUP(I422&amp;"|"&amp;IF(LEFT(H422,2)="2H",2,1)&amp;"|"&amp;IF(G422="slashing",1,0),_lookup!$G$3:$H$18,2,FALSE),""))))</f>
        <v/>
      </c>
      <c r="L422">
        <f>IF(K422="","",IF(OR(G422="channeling",G422="infusing"),"Magical",IF(G422="blocking","Anti-Physical",IF(G422="warding","Anti-Magical","Physical"))))</f>
        <v/>
      </c>
      <c r="O422">
        <f>IF(F422&lt;&gt;"armor","","TBD")</f>
        <v/>
      </c>
      <c r="P422">
        <f>IF(O422="","",IF(OR(G422="channeling",G422="infusing"),"Magical",IF(G422="blocking","Anti-Physical",IF(G422="warding","Anti-Magical","Physical"))))</f>
        <v/>
      </c>
    </row>
    <row r="423">
      <c r="J423">
        <f>IF(G423="","",IFERROR(IF(G423="infusing",IFERROR(LOOKUP(2,1/ISNUMBER(SEARCH(_lookup!$D$3:$D$4,H423)),_lookup!$E$3:$E$4),"INT"),VLOOKUP(G423,_lookup!$A$3:$B$14,2,FALSE)),""))</f>
        <v/>
      </c>
      <c r="K423">
        <f>IF(F423&lt;&gt;"weapon","",IF(G423="miscellaneous","1-4",IF(I423="","",IFERROR(VLOOKUP(I423&amp;"|"&amp;IF(LEFT(H423,2)="2H",2,1)&amp;"|"&amp;IF(G423="slashing",1,0),_lookup!$G$3:$H$18,2,FALSE),""))))</f>
        <v/>
      </c>
      <c r="L423">
        <f>IF(K423="","",IF(OR(G423="channeling",G423="infusing"),"Magical",IF(G423="blocking","Anti-Physical",IF(G423="warding","Anti-Magical","Physical"))))</f>
        <v/>
      </c>
      <c r="O423">
        <f>IF(F423&lt;&gt;"armor","","TBD")</f>
        <v/>
      </c>
      <c r="P423">
        <f>IF(O423="","",IF(OR(G423="channeling",G423="infusing"),"Magical",IF(G423="blocking","Anti-Physical",IF(G423="warding","Anti-Magical","Physical"))))</f>
        <v/>
      </c>
    </row>
    <row r="424">
      <c r="J424">
        <f>IF(G424="","",IFERROR(IF(G424="infusing",IFERROR(LOOKUP(2,1/ISNUMBER(SEARCH(_lookup!$D$3:$D$4,H424)),_lookup!$E$3:$E$4),"INT"),VLOOKUP(G424,_lookup!$A$3:$B$14,2,FALSE)),""))</f>
        <v/>
      </c>
      <c r="K424">
        <f>IF(F424&lt;&gt;"weapon","",IF(G424="miscellaneous","1-4",IF(I424="","",IFERROR(VLOOKUP(I424&amp;"|"&amp;IF(LEFT(H424,2)="2H",2,1)&amp;"|"&amp;IF(G424="slashing",1,0),_lookup!$G$3:$H$18,2,FALSE),""))))</f>
        <v/>
      </c>
      <c r="L424">
        <f>IF(K424="","",IF(OR(G424="channeling",G424="infusing"),"Magical",IF(G424="blocking","Anti-Physical",IF(G424="warding","Anti-Magical","Physical"))))</f>
        <v/>
      </c>
      <c r="O424">
        <f>IF(F424&lt;&gt;"armor","","TBD")</f>
        <v/>
      </c>
      <c r="P424">
        <f>IF(O424="","",IF(OR(G424="channeling",G424="infusing"),"Magical",IF(G424="blocking","Anti-Physical",IF(G424="warding","Anti-Magical","Physical"))))</f>
        <v/>
      </c>
    </row>
    <row r="425">
      <c r="J425">
        <f>IF(G425="","",IFERROR(IF(G425="infusing",IFERROR(LOOKUP(2,1/ISNUMBER(SEARCH(_lookup!$D$3:$D$4,H425)),_lookup!$E$3:$E$4),"INT"),VLOOKUP(G425,_lookup!$A$3:$B$14,2,FALSE)),""))</f>
        <v/>
      </c>
      <c r="K425">
        <f>IF(F425&lt;&gt;"weapon","",IF(G425="miscellaneous","1-4",IF(I425="","",IFERROR(VLOOKUP(I425&amp;"|"&amp;IF(LEFT(H425,2)="2H",2,1)&amp;"|"&amp;IF(G425="slashing",1,0),_lookup!$G$3:$H$18,2,FALSE),""))))</f>
        <v/>
      </c>
      <c r="L425">
        <f>IF(K425="","",IF(OR(G425="channeling",G425="infusing"),"Magical",IF(G425="blocking","Anti-Physical",IF(G425="warding","Anti-Magical","Physical"))))</f>
        <v/>
      </c>
      <c r="O425">
        <f>IF(F425&lt;&gt;"armor","","TBD")</f>
        <v/>
      </c>
      <c r="P425">
        <f>IF(O425="","",IF(OR(G425="channeling",G425="infusing"),"Magical",IF(G425="blocking","Anti-Physical",IF(G425="warding","Anti-Magical","Physical"))))</f>
        <v/>
      </c>
    </row>
    <row r="426">
      <c r="J426">
        <f>IF(G426="","",IFERROR(IF(G426="infusing",IFERROR(LOOKUP(2,1/ISNUMBER(SEARCH(_lookup!$D$3:$D$4,H426)),_lookup!$E$3:$E$4),"INT"),VLOOKUP(G426,_lookup!$A$3:$B$14,2,FALSE)),""))</f>
        <v/>
      </c>
      <c r="K426">
        <f>IF(F426&lt;&gt;"weapon","",IF(G426="miscellaneous","1-4",IF(I426="","",IFERROR(VLOOKUP(I426&amp;"|"&amp;IF(LEFT(H426,2)="2H",2,1)&amp;"|"&amp;IF(G426="slashing",1,0),_lookup!$G$3:$H$18,2,FALSE),""))))</f>
        <v/>
      </c>
      <c r="L426">
        <f>IF(K426="","",IF(OR(G426="channeling",G426="infusing"),"Magical",IF(G426="blocking","Anti-Physical",IF(G426="warding","Anti-Magical","Physical"))))</f>
        <v/>
      </c>
      <c r="O426">
        <f>IF(F426&lt;&gt;"armor","","TBD")</f>
        <v/>
      </c>
      <c r="P426">
        <f>IF(O426="","",IF(OR(G426="channeling",G426="infusing"),"Magical",IF(G426="blocking","Anti-Physical",IF(G426="warding","Anti-Magical","Physical"))))</f>
        <v/>
      </c>
    </row>
    <row r="427">
      <c r="J427">
        <f>IF(G427="","",IFERROR(IF(G427="infusing",IFERROR(LOOKUP(2,1/ISNUMBER(SEARCH(_lookup!$D$3:$D$4,H427)),_lookup!$E$3:$E$4),"INT"),VLOOKUP(G427,_lookup!$A$3:$B$14,2,FALSE)),""))</f>
        <v/>
      </c>
      <c r="K427">
        <f>IF(F427&lt;&gt;"weapon","",IF(G427="miscellaneous","1-4",IF(I427="","",IFERROR(VLOOKUP(I427&amp;"|"&amp;IF(LEFT(H427,2)="2H",2,1)&amp;"|"&amp;IF(G427="slashing",1,0),_lookup!$G$3:$H$18,2,FALSE),""))))</f>
        <v/>
      </c>
      <c r="L427">
        <f>IF(K427="","",IF(OR(G427="channeling",G427="infusing"),"Magical",IF(G427="blocking","Anti-Physical",IF(G427="warding","Anti-Magical","Physical"))))</f>
        <v/>
      </c>
      <c r="O427">
        <f>IF(F427&lt;&gt;"armor","","TBD")</f>
        <v/>
      </c>
      <c r="P427">
        <f>IF(O427="","",IF(OR(G427="channeling",G427="infusing"),"Magical",IF(G427="blocking","Anti-Physical",IF(G427="warding","Anti-Magical","Physical"))))</f>
        <v/>
      </c>
    </row>
    <row r="428">
      <c r="J428">
        <f>IF(G428="","",IFERROR(IF(G428="infusing",IFERROR(LOOKUP(2,1/ISNUMBER(SEARCH(_lookup!$D$3:$D$4,H428)),_lookup!$E$3:$E$4),"INT"),VLOOKUP(G428,_lookup!$A$3:$B$14,2,FALSE)),""))</f>
        <v/>
      </c>
      <c r="K428">
        <f>IF(F428&lt;&gt;"weapon","",IF(G428="miscellaneous","1-4",IF(I428="","",IFERROR(VLOOKUP(I428&amp;"|"&amp;IF(LEFT(H428,2)="2H",2,1)&amp;"|"&amp;IF(G428="slashing",1,0),_lookup!$G$3:$H$18,2,FALSE),""))))</f>
        <v/>
      </c>
      <c r="L428">
        <f>IF(K428="","",IF(OR(G428="channeling",G428="infusing"),"Magical",IF(G428="blocking","Anti-Physical",IF(G428="warding","Anti-Magical","Physical"))))</f>
        <v/>
      </c>
      <c r="O428">
        <f>IF(F428&lt;&gt;"armor","","TBD")</f>
        <v/>
      </c>
      <c r="P428">
        <f>IF(O428="","",IF(OR(G428="channeling",G428="infusing"),"Magical",IF(G428="blocking","Anti-Physical",IF(G428="warding","Anti-Magical","Physical"))))</f>
        <v/>
      </c>
    </row>
    <row r="429">
      <c r="J429">
        <f>IF(G429="","",IFERROR(IF(G429="infusing",IFERROR(LOOKUP(2,1/ISNUMBER(SEARCH(_lookup!$D$3:$D$4,H429)),_lookup!$E$3:$E$4),"INT"),VLOOKUP(G429,_lookup!$A$3:$B$14,2,FALSE)),""))</f>
        <v/>
      </c>
      <c r="K429">
        <f>IF(F429&lt;&gt;"weapon","",IF(G429="miscellaneous","1-4",IF(I429="","",IFERROR(VLOOKUP(I429&amp;"|"&amp;IF(LEFT(H429,2)="2H",2,1)&amp;"|"&amp;IF(G429="slashing",1,0),_lookup!$G$3:$H$18,2,FALSE),""))))</f>
        <v/>
      </c>
      <c r="L429">
        <f>IF(K429="","",IF(OR(G429="channeling",G429="infusing"),"Magical",IF(G429="blocking","Anti-Physical",IF(G429="warding","Anti-Magical","Physical"))))</f>
        <v/>
      </c>
      <c r="O429">
        <f>IF(F429&lt;&gt;"armor","","TBD")</f>
        <v/>
      </c>
      <c r="P429">
        <f>IF(O429="","",IF(OR(G429="channeling",G429="infusing"),"Magical",IF(G429="blocking","Anti-Physical",IF(G429="warding","Anti-Magical","Physical"))))</f>
        <v/>
      </c>
    </row>
    <row r="430">
      <c r="J430">
        <f>IF(G430="","",IFERROR(IF(G430="infusing",IFERROR(LOOKUP(2,1/ISNUMBER(SEARCH(_lookup!$D$3:$D$4,H430)),_lookup!$E$3:$E$4),"INT"),VLOOKUP(G430,_lookup!$A$3:$B$14,2,FALSE)),""))</f>
        <v/>
      </c>
      <c r="K430">
        <f>IF(F430&lt;&gt;"weapon","",IF(G430="miscellaneous","1-4",IF(I430="","",IFERROR(VLOOKUP(I430&amp;"|"&amp;IF(LEFT(H430,2)="2H",2,1)&amp;"|"&amp;IF(G430="slashing",1,0),_lookup!$G$3:$H$18,2,FALSE),""))))</f>
        <v/>
      </c>
      <c r="L430">
        <f>IF(K430="","",IF(OR(G430="channeling",G430="infusing"),"Magical",IF(G430="blocking","Anti-Physical",IF(G430="warding","Anti-Magical","Physical"))))</f>
        <v/>
      </c>
      <c r="O430">
        <f>IF(F430&lt;&gt;"armor","","TBD")</f>
        <v/>
      </c>
      <c r="P430">
        <f>IF(O430="","",IF(OR(G430="channeling",G430="infusing"),"Magical",IF(G430="blocking","Anti-Physical",IF(G430="warding","Anti-Magical","Physical"))))</f>
        <v/>
      </c>
    </row>
    <row r="431">
      <c r="J431">
        <f>IF(G431="","",IFERROR(IF(G431="infusing",IFERROR(LOOKUP(2,1/ISNUMBER(SEARCH(_lookup!$D$3:$D$4,H431)),_lookup!$E$3:$E$4),"INT"),VLOOKUP(G431,_lookup!$A$3:$B$14,2,FALSE)),""))</f>
        <v/>
      </c>
      <c r="K431">
        <f>IF(F431&lt;&gt;"weapon","",IF(G431="miscellaneous","1-4",IF(I431="","",IFERROR(VLOOKUP(I431&amp;"|"&amp;IF(LEFT(H431,2)="2H",2,1)&amp;"|"&amp;IF(G431="slashing",1,0),_lookup!$G$3:$H$18,2,FALSE),""))))</f>
        <v/>
      </c>
      <c r="L431">
        <f>IF(K431="","",IF(OR(G431="channeling",G431="infusing"),"Magical",IF(G431="blocking","Anti-Physical",IF(G431="warding","Anti-Magical","Physical"))))</f>
        <v/>
      </c>
      <c r="O431">
        <f>IF(F431&lt;&gt;"armor","","TBD")</f>
        <v/>
      </c>
      <c r="P431">
        <f>IF(O431="","",IF(OR(G431="channeling",G431="infusing"),"Magical",IF(G431="blocking","Anti-Physical",IF(G431="warding","Anti-Magical","Physical"))))</f>
        <v/>
      </c>
    </row>
    <row r="432">
      <c r="J432">
        <f>IF(G432="","",IFERROR(IF(G432="infusing",IFERROR(LOOKUP(2,1/ISNUMBER(SEARCH(_lookup!$D$3:$D$4,H432)),_lookup!$E$3:$E$4),"INT"),VLOOKUP(G432,_lookup!$A$3:$B$14,2,FALSE)),""))</f>
        <v/>
      </c>
      <c r="K432">
        <f>IF(F432&lt;&gt;"weapon","",IF(G432="miscellaneous","1-4",IF(I432="","",IFERROR(VLOOKUP(I432&amp;"|"&amp;IF(LEFT(H432,2)="2H",2,1)&amp;"|"&amp;IF(G432="slashing",1,0),_lookup!$G$3:$H$18,2,FALSE),""))))</f>
        <v/>
      </c>
      <c r="L432">
        <f>IF(K432="","",IF(OR(G432="channeling",G432="infusing"),"Magical",IF(G432="blocking","Anti-Physical",IF(G432="warding","Anti-Magical","Physical"))))</f>
        <v/>
      </c>
      <c r="O432">
        <f>IF(F432&lt;&gt;"armor","","TBD")</f>
        <v/>
      </c>
      <c r="P432">
        <f>IF(O432="","",IF(OR(G432="channeling",G432="infusing"),"Magical",IF(G432="blocking","Anti-Physical",IF(G432="warding","Anti-Magical","Physical"))))</f>
        <v/>
      </c>
    </row>
    <row r="433">
      <c r="J433">
        <f>IF(G433="","",IFERROR(IF(G433="infusing",IFERROR(LOOKUP(2,1/ISNUMBER(SEARCH(_lookup!$D$3:$D$4,H433)),_lookup!$E$3:$E$4),"INT"),VLOOKUP(G433,_lookup!$A$3:$B$14,2,FALSE)),""))</f>
        <v/>
      </c>
      <c r="K433">
        <f>IF(F433&lt;&gt;"weapon","",IF(G433="miscellaneous","1-4",IF(I433="","",IFERROR(VLOOKUP(I433&amp;"|"&amp;IF(LEFT(H433,2)="2H",2,1)&amp;"|"&amp;IF(G433="slashing",1,0),_lookup!$G$3:$H$18,2,FALSE),""))))</f>
        <v/>
      </c>
      <c r="L433">
        <f>IF(K433="","",IF(OR(G433="channeling",G433="infusing"),"Magical",IF(G433="blocking","Anti-Physical",IF(G433="warding","Anti-Magical","Physical"))))</f>
        <v/>
      </c>
      <c r="O433">
        <f>IF(F433&lt;&gt;"armor","","TBD")</f>
        <v/>
      </c>
      <c r="P433">
        <f>IF(O433="","",IF(OR(G433="channeling",G433="infusing"),"Magical",IF(G433="blocking","Anti-Physical",IF(G433="warding","Anti-Magical","Physical"))))</f>
        <v/>
      </c>
    </row>
    <row r="434">
      <c r="J434">
        <f>IF(G434="","",IFERROR(IF(G434="infusing",IFERROR(LOOKUP(2,1/ISNUMBER(SEARCH(_lookup!$D$3:$D$4,H434)),_lookup!$E$3:$E$4),"INT"),VLOOKUP(G434,_lookup!$A$3:$B$14,2,FALSE)),""))</f>
        <v/>
      </c>
      <c r="K434">
        <f>IF(F434&lt;&gt;"weapon","",IF(G434="miscellaneous","1-4",IF(I434="","",IFERROR(VLOOKUP(I434&amp;"|"&amp;IF(LEFT(H434,2)="2H",2,1)&amp;"|"&amp;IF(G434="slashing",1,0),_lookup!$G$3:$H$18,2,FALSE),""))))</f>
        <v/>
      </c>
      <c r="L434">
        <f>IF(K434="","",IF(OR(G434="channeling",G434="infusing"),"Magical",IF(G434="blocking","Anti-Physical",IF(G434="warding","Anti-Magical","Physical"))))</f>
        <v/>
      </c>
      <c r="O434">
        <f>IF(F434&lt;&gt;"armor","","TBD")</f>
        <v/>
      </c>
      <c r="P434">
        <f>IF(O434="","",IF(OR(G434="channeling",G434="infusing"),"Magical",IF(G434="blocking","Anti-Physical",IF(G434="warding","Anti-Magical","Physical"))))</f>
        <v/>
      </c>
    </row>
    <row r="435">
      <c r="J435">
        <f>IF(G435="","",IFERROR(IF(G435="infusing",IFERROR(LOOKUP(2,1/ISNUMBER(SEARCH(_lookup!$D$3:$D$4,H435)),_lookup!$E$3:$E$4),"INT"),VLOOKUP(G435,_lookup!$A$3:$B$14,2,FALSE)),""))</f>
        <v/>
      </c>
      <c r="K435">
        <f>IF(F435&lt;&gt;"weapon","",IF(G435="miscellaneous","1-4",IF(I435="","",IFERROR(VLOOKUP(I435&amp;"|"&amp;IF(LEFT(H435,2)="2H",2,1)&amp;"|"&amp;IF(G435="slashing",1,0),_lookup!$G$3:$H$18,2,FALSE),""))))</f>
        <v/>
      </c>
      <c r="L435">
        <f>IF(K435="","",IF(OR(G435="channeling",G435="infusing"),"Magical",IF(G435="blocking","Anti-Physical",IF(G435="warding","Anti-Magical","Physical"))))</f>
        <v/>
      </c>
      <c r="O435">
        <f>IF(F435&lt;&gt;"armor","","TBD")</f>
        <v/>
      </c>
      <c r="P435">
        <f>IF(O435="","",IF(OR(G435="channeling",G435="infusing"),"Magical",IF(G435="blocking","Anti-Physical",IF(G435="warding","Anti-Magical","Physical"))))</f>
        <v/>
      </c>
    </row>
    <row r="436">
      <c r="J436">
        <f>IF(G436="","",IFERROR(IF(G436="infusing",IFERROR(LOOKUP(2,1/ISNUMBER(SEARCH(_lookup!$D$3:$D$4,H436)),_lookup!$E$3:$E$4),"INT"),VLOOKUP(G436,_lookup!$A$3:$B$14,2,FALSE)),""))</f>
        <v/>
      </c>
      <c r="K436">
        <f>IF(F436&lt;&gt;"weapon","",IF(G436="miscellaneous","1-4",IF(I436="","",IFERROR(VLOOKUP(I436&amp;"|"&amp;IF(LEFT(H436,2)="2H",2,1)&amp;"|"&amp;IF(G436="slashing",1,0),_lookup!$G$3:$H$18,2,FALSE),""))))</f>
        <v/>
      </c>
      <c r="L436">
        <f>IF(K436="","",IF(OR(G436="channeling",G436="infusing"),"Magical",IF(G436="blocking","Anti-Physical",IF(G436="warding","Anti-Magical","Physical"))))</f>
        <v/>
      </c>
      <c r="O436">
        <f>IF(F436&lt;&gt;"armor","","TBD")</f>
        <v/>
      </c>
      <c r="P436">
        <f>IF(O436="","",IF(OR(G436="channeling",G436="infusing"),"Magical",IF(G436="blocking","Anti-Physical",IF(G436="warding","Anti-Magical","Physical"))))</f>
        <v/>
      </c>
    </row>
    <row r="437">
      <c r="J437">
        <f>IF(G437="","",IFERROR(IF(G437="infusing",IFERROR(LOOKUP(2,1/ISNUMBER(SEARCH(_lookup!$D$3:$D$4,H437)),_lookup!$E$3:$E$4),"INT"),VLOOKUP(G437,_lookup!$A$3:$B$14,2,FALSE)),""))</f>
        <v/>
      </c>
      <c r="K437">
        <f>IF(F437&lt;&gt;"weapon","",IF(G437="miscellaneous","1-4",IF(I437="","",IFERROR(VLOOKUP(I437&amp;"|"&amp;IF(LEFT(H437,2)="2H",2,1)&amp;"|"&amp;IF(G437="slashing",1,0),_lookup!$G$3:$H$18,2,FALSE),""))))</f>
        <v/>
      </c>
      <c r="L437">
        <f>IF(K437="","",IF(OR(G437="channeling",G437="infusing"),"Magical",IF(G437="blocking","Anti-Physical",IF(G437="warding","Anti-Magical","Physical"))))</f>
        <v/>
      </c>
      <c r="O437">
        <f>IF(F437&lt;&gt;"armor","","TBD")</f>
        <v/>
      </c>
      <c r="P437">
        <f>IF(O437="","",IF(OR(G437="channeling",G437="infusing"),"Magical",IF(G437="blocking","Anti-Physical",IF(G437="warding","Anti-Magical","Physical"))))</f>
        <v/>
      </c>
    </row>
    <row r="438">
      <c r="J438">
        <f>IF(G438="","",IFERROR(IF(G438="infusing",IFERROR(LOOKUP(2,1/ISNUMBER(SEARCH(_lookup!$D$3:$D$4,H438)),_lookup!$E$3:$E$4),"INT"),VLOOKUP(G438,_lookup!$A$3:$B$14,2,FALSE)),""))</f>
        <v/>
      </c>
      <c r="K438">
        <f>IF(F438&lt;&gt;"weapon","",IF(G438="miscellaneous","1-4",IF(I438="","",IFERROR(VLOOKUP(I438&amp;"|"&amp;IF(LEFT(H438,2)="2H",2,1)&amp;"|"&amp;IF(G438="slashing",1,0),_lookup!$G$3:$H$18,2,FALSE),""))))</f>
        <v/>
      </c>
      <c r="L438">
        <f>IF(K438="","",IF(OR(G438="channeling",G438="infusing"),"Magical",IF(G438="blocking","Anti-Physical",IF(G438="warding","Anti-Magical","Physical"))))</f>
        <v/>
      </c>
      <c r="O438">
        <f>IF(F438&lt;&gt;"armor","","TBD")</f>
        <v/>
      </c>
      <c r="P438">
        <f>IF(O438="","",IF(OR(G438="channeling",G438="infusing"),"Magical",IF(G438="blocking","Anti-Physical",IF(G438="warding","Anti-Magical","Physical"))))</f>
        <v/>
      </c>
    </row>
    <row r="439">
      <c r="J439">
        <f>IF(G439="","",IFERROR(IF(G439="infusing",IFERROR(LOOKUP(2,1/ISNUMBER(SEARCH(_lookup!$D$3:$D$4,H439)),_lookup!$E$3:$E$4),"INT"),VLOOKUP(G439,_lookup!$A$3:$B$14,2,FALSE)),""))</f>
        <v/>
      </c>
      <c r="K439">
        <f>IF(F439&lt;&gt;"weapon","",IF(G439="miscellaneous","1-4",IF(I439="","",IFERROR(VLOOKUP(I439&amp;"|"&amp;IF(LEFT(H439,2)="2H",2,1)&amp;"|"&amp;IF(G439="slashing",1,0),_lookup!$G$3:$H$18,2,FALSE),""))))</f>
        <v/>
      </c>
      <c r="L439">
        <f>IF(K439="","",IF(OR(G439="channeling",G439="infusing"),"Magical",IF(G439="blocking","Anti-Physical",IF(G439="warding","Anti-Magical","Physical"))))</f>
        <v/>
      </c>
      <c r="O439">
        <f>IF(F439&lt;&gt;"armor","","TBD")</f>
        <v/>
      </c>
      <c r="P439">
        <f>IF(O439="","",IF(OR(G439="channeling",G439="infusing"),"Magical",IF(G439="blocking","Anti-Physical",IF(G439="warding","Anti-Magical","Physical"))))</f>
        <v/>
      </c>
    </row>
    <row r="440">
      <c r="J440">
        <f>IF(G440="","",IFERROR(IF(G440="infusing",IFERROR(LOOKUP(2,1/ISNUMBER(SEARCH(_lookup!$D$3:$D$4,H440)),_lookup!$E$3:$E$4),"INT"),VLOOKUP(G440,_lookup!$A$3:$B$14,2,FALSE)),""))</f>
        <v/>
      </c>
      <c r="K440">
        <f>IF(F440&lt;&gt;"weapon","",IF(G440="miscellaneous","1-4",IF(I440="","",IFERROR(VLOOKUP(I440&amp;"|"&amp;IF(LEFT(H440,2)="2H",2,1)&amp;"|"&amp;IF(G440="slashing",1,0),_lookup!$G$3:$H$18,2,FALSE),""))))</f>
        <v/>
      </c>
      <c r="L440">
        <f>IF(K440="","",IF(OR(G440="channeling",G440="infusing"),"Magical",IF(G440="blocking","Anti-Physical",IF(G440="warding","Anti-Magical","Physical"))))</f>
        <v/>
      </c>
      <c r="O440">
        <f>IF(F440&lt;&gt;"armor","","TBD")</f>
        <v/>
      </c>
      <c r="P440">
        <f>IF(O440="","",IF(OR(G440="channeling",G440="infusing"),"Magical",IF(G440="blocking","Anti-Physical",IF(G440="warding","Anti-Magical","Physical"))))</f>
        <v/>
      </c>
    </row>
    <row r="441">
      <c r="J441">
        <f>IF(G441="","",IFERROR(IF(G441="infusing",IFERROR(LOOKUP(2,1/ISNUMBER(SEARCH(_lookup!$D$3:$D$4,H441)),_lookup!$E$3:$E$4),"INT"),VLOOKUP(G441,_lookup!$A$3:$B$14,2,FALSE)),""))</f>
        <v/>
      </c>
      <c r="K441">
        <f>IF(F441&lt;&gt;"weapon","",IF(G441="miscellaneous","1-4",IF(I441="","",IFERROR(VLOOKUP(I441&amp;"|"&amp;IF(LEFT(H441,2)="2H",2,1)&amp;"|"&amp;IF(G441="slashing",1,0),_lookup!$G$3:$H$18,2,FALSE),""))))</f>
        <v/>
      </c>
      <c r="L441">
        <f>IF(K441="","",IF(OR(G441="channeling",G441="infusing"),"Magical",IF(G441="blocking","Anti-Physical",IF(G441="warding","Anti-Magical","Physical"))))</f>
        <v/>
      </c>
      <c r="O441">
        <f>IF(F441&lt;&gt;"armor","","TBD")</f>
        <v/>
      </c>
      <c r="P441">
        <f>IF(O441="","",IF(OR(G441="channeling",G441="infusing"),"Magical",IF(G441="blocking","Anti-Physical",IF(G441="warding","Anti-Magical","Physical"))))</f>
        <v/>
      </c>
    </row>
    <row r="442">
      <c r="J442">
        <f>IF(G442="","",IFERROR(IF(G442="infusing",IFERROR(LOOKUP(2,1/ISNUMBER(SEARCH(_lookup!$D$3:$D$4,H442)),_lookup!$E$3:$E$4),"INT"),VLOOKUP(G442,_lookup!$A$3:$B$14,2,FALSE)),""))</f>
        <v/>
      </c>
      <c r="K442">
        <f>IF(F442&lt;&gt;"weapon","",IF(G442="miscellaneous","1-4",IF(I442="","",IFERROR(VLOOKUP(I442&amp;"|"&amp;IF(LEFT(H442,2)="2H",2,1)&amp;"|"&amp;IF(G442="slashing",1,0),_lookup!$G$3:$H$18,2,FALSE),""))))</f>
        <v/>
      </c>
      <c r="L442">
        <f>IF(K442="","",IF(OR(G442="channeling",G442="infusing"),"Magical",IF(G442="blocking","Anti-Physical",IF(G442="warding","Anti-Magical","Physical"))))</f>
        <v/>
      </c>
      <c r="O442">
        <f>IF(F442&lt;&gt;"armor","","TBD")</f>
        <v/>
      </c>
      <c r="P442">
        <f>IF(O442="","",IF(OR(G442="channeling",G442="infusing"),"Magical",IF(G442="blocking","Anti-Physical",IF(G442="warding","Anti-Magical","Physical"))))</f>
        <v/>
      </c>
    </row>
    <row r="443">
      <c r="J443">
        <f>IF(G443="","",IFERROR(IF(G443="infusing",IFERROR(LOOKUP(2,1/ISNUMBER(SEARCH(_lookup!$D$3:$D$4,H443)),_lookup!$E$3:$E$4),"INT"),VLOOKUP(G443,_lookup!$A$3:$B$14,2,FALSE)),""))</f>
        <v/>
      </c>
      <c r="K443">
        <f>IF(F443&lt;&gt;"weapon","",IF(G443="miscellaneous","1-4",IF(I443="","",IFERROR(VLOOKUP(I443&amp;"|"&amp;IF(LEFT(H443,2)="2H",2,1)&amp;"|"&amp;IF(G443="slashing",1,0),_lookup!$G$3:$H$18,2,FALSE),""))))</f>
        <v/>
      </c>
      <c r="L443">
        <f>IF(K443="","",IF(OR(G443="channeling",G443="infusing"),"Magical",IF(G443="blocking","Anti-Physical",IF(G443="warding","Anti-Magical","Physical"))))</f>
        <v/>
      </c>
      <c r="O443">
        <f>IF(F443&lt;&gt;"armor","","TBD")</f>
        <v/>
      </c>
      <c r="P443">
        <f>IF(O443="","",IF(OR(G443="channeling",G443="infusing"),"Magical",IF(G443="blocking","Anti-Physical",IF(G443="warding","Anti-Magical","Physical"))))</f>
        <v/>
      </c>
    </row>
    <row r="444">
      <c r="J444">
        <f>IF(G444="","",IFERROR(IF(G444="infusing",IFERROR(LOOKUP(2,1/ISNUMBER(SEARCH(_lookup!$D$3:$D$4,H444)),_lookup!$E$3:$E$4),"INT"),VLOOKUP(G444,_lookup!$A$3:$B$14,2,FALSE)),""))</f>
        <v/>
      </c>
      <c r="K444">
        <f>IF(F444&lt;&gt;"weapon","",IF(G444="miscellaneous","1-4",IF(I444="","",IFERROR(VLOOKUP(I444&amp;"|"&amp;IF(LEFT(H444,2)="2H",2,1)&amp;"|"&amp;IF(G444="slashing",1,0),_lookup!$G$3:$H$18,2,FALSE),""))))</f>
        <v/>
      </c>
      <c r="L444">
        <f>IF(K444="","",IF(OR(G444="channeling",G444="infusing"),"Magical",IF(G444="blocking","Anti-Physical",IF(G444="warding","Anti-Magical","Physical"))))</f>
        <v/>
      </c>
      <c r="O444">
        <f>IF(F444&lt;&gt;"armor","","TBD")</f>
        <v/>
      </c>
      <c r="P444">
        <f>IF(O444="","",IF(OR(G444="channeling",G444="infusing"),"Magical",IF(G444="blocking","Anti-Physical",IF(G444="warding","Anti-Magical","Physical"))))</f>
        <v/>
      </c>
    </row>
    <row r="445">
      <c r="J445">
        <f>IF(G445="","",IFERROR(IF(G445="infusing",IFERROR(LOOKUP(2,1/ISNUMBER(SEARCH(_lookup!$D$3:$D$4,H445)),_lookup!$E$3:$E$4),"INT"),VLOOKUP(G445,_lookup!$A$3:$B$14,2,FALSE)),""))</f>
        <v/>
      </c>
      <c r="K445">
        <f>IF(F445&lt;&gt;"weapon","",IF(G445="miscellaneous","1-4",IF(I445="","",IFERROR(VLOOKUP(I445&amp;"|"&amp;IF(LEFT(H445,2)="2H",2,1)&amp;"|"&amp;IF(G445="slashing",1,0),_lookup!$G$3:$H$18,2,FALSE),""))))</f>
        <v/>
      </c>
      <c r="L445">
        <f>IF(K445="","",IF(OR(G445="channeling",G445="infusing"),"Magical",IF(G445="blocking","Anti-Physical",IF(G445="warding","Anti-Magical","Physical"))))</f>
        <v/>
      </c>
      <c r="O445">
        <f>IF(F445&lt;&gt;"armor","","TBD")</f>
        <v/>
      </c>
      <c r="P445">
        <f>IF(O445="","",IF(OR(G445="channeling",G445="infusing"),"Magical",IF(G445="blocking","Anti-Physical",IF(G445="warding","Anti-Magical","Physical"))))</f>
        <v/>
      </c>
    </row>
    <row r="446">
      <c r="J446">
        <f>IF(G446="","",IFERROR(IF(G446="infusing",IFERROR(LOOKUP(2,1/ISNUMBER(SEARCH(_lookup!$D$3:$D$4,H446)),_lookup!$E$3:$E$4),"INT"),VLOOKUP(G446,_lookup!$A$3:$B$14,2,FALSE)),""))</f>
        <v/>
      </c>
      <c r="K446">
        <f>IF(F446&lt;&gt;"weapon","",IF(G446="miscellaneous","1-4",IF(I446="","",IFERROR(VLOOKUP(I446&amp;"|"&amp;IF(LEFT(H446,2)="2H",2,1)&amp;"|"&amp;IF(G446="slashing",1,0),_lookup!$G$3:$H$18,2,FALSE),""))))</f>
        <v/>
      </c>
      <c r="L446">
        <f>IF(K446="","",IF(OR(G446="channeling",G446="infusing"),"Magical",IF(G446="blocking","Anti-Physical",IF(G446="warding","Anti-Magical","Physical"))))</f>
        <v/>
      </c>
      <c r="O446">
        <f>IF(F446&lt;&gt;"armor","","TBD")</f>
        <v/>
      </c>
      <c r="P446">
        <f>IF(O446="","",IF(OR(G446="channeling",G446="infusing"),"Magical",IF(G446="blocking","Anti-Physical",IF(G446="warding","Anti-Magical","Physical"))))</f>
        <v/>
      </c>
    </row>
    <row r="447">
      <c r="J447">
        <f>IF(G447="","",IFERROR(IF(G447="infusing",IFERROR(LOOKUP(2,1/ISNUMBER(SEARCH(_lookup!$D$3:$D$4,H447)),_lookup!$E$3:$E$4),"INT"),VLOOKUP(G447,_lookup!$A$3:$B$14,2,FALSE)),""))</f>
        <v/>
      </c>
      <c r="K447">
        <f>IF(F447&lt;&gt;"weapon","",IF(G447="miscellaneous","1-4",IF(I447="","",IFERROR(VLOOKUP(I447&amp;"|"&amp;IF(LEFT(H447,2)="2H",2,1)&amp;"|"&amp;IF(G447="slashing",1,0),_lookup!$G$3:$H$18,2,FALSE),""))))</f>
        <v/>
      </c>
      <c r="L447">
        <f>IF(K447="","",IF(OR(G447="channeling",G447="infusing"),"Magical",IF(G447="blocking","Anti-Physical",IF(G447="warding","Anti-Magical","Physical"))))</f>
        <v/>
      </c>
      <c r="O447">
        <f>IF(F447&lt;&gt;"armor","","TBD")</f>
        <v/>
      </c>
      <c r="P447">
        <f>IF(O447="","",IF(OR(G447="channeling",G447="infusing"),"Magical",IF(G447="blocking","Anti-Physical",IF(G447="warding","Anti-Magical","Physical"))))</f>
        <v/>
      </c>
    </row>
    <row r="448">
      <c r="J448">
        <f>IF(G448="","",IFERROR(IF(G448="infusing",IFERROR(LOOKUP(2,1/ISNUMBER(SEARCH(_lookup!$D$3:$D$4,H448)),_lookup!$E$3:$E$4),"INT"),VLOOKUP(G448,_lookup!$A$3:$B$14,2,FALSE)),""))</f>
        <v/>
      </c>
      <c r="K448">
        <f>IF(F448&lt;&gt;"weapon","",IF(G448="miscellaneous","1-4",IF(I448="","",IFERROR(VLOOKUP(I448&amp;"|"&amp;IF(LEFT(H448,2)="2H",2,1)&amp;"|"&amp;IF(G448="slashing",1,0),_lookup!$G$3:$H$18,2,FALSE),""))))</f>
        <v/>
      </c>
      <c r="L448">
        <f>IF(K448="","",IF(OR(G448="channeling",G448="infusing"),"Magical",IF(G448="blocking","Anti-Physical",IF(G448="warding","Anti-Magical","Physical"))))</f>
        <v/>
      </c>
      <c r="O448">
        <f>IF(F448&lt;&gt;"armor","","TBD")</f>
        <v/>
      </c>
      <c r="P448">
        <f>IF(O448="","",IF(OR(G448="channeling",G448="infusing"),"Magical",IF(G448="blocking","Anti-Physical",IF(G448="warding","Anti-Magical","Physical"))))</f>
        <v/>
      </c>
    </row>
    <row r="449">
      <c r="J449">
        <f>IF(G449="","",IFERROR(IF(G449="infusing",IFERROR(LOOKUP(2,1/ISNUMBER(SEARCH(_lookup!$D$3:$D$4,H449)),_lookup!$E$3:$E$4),"INT"),VLOOKUP(G449,_lookup!$A$3:$B$14,2,FALSE)),""))</f>
        <v/>
      </c>
      <c r="K449">
        <f>IF(F449&lt;&gt;"weapon","",IF(G449="miscellaneous","1-4",IF(I449="","",IFERROR(VLOOKUP(I449&amp;"|"&amp;IF(LEFT(H449,2)="2H",2,1)&amp;"|"&amp;IF(G449="slashing",1,0),_lookup!$G$3:$H$18,2,FALSE),""))))</f>
        <v/>
      </c>
      <c r="L449">
        <f>IF(K449="","",IF(OR(G449="channeling",G449="infusing"),"Magical",IF(G449="blocking","Anti-Physical",IF(G449="warding","Anti-Magical","Physical"))))</f>
        <v/>
      </c>
      <c r="O449">
        <f>IF(F449&lt;&gt;"armor","","TBD")</f>
        <v/>
      </c>
      <c r="P449">
        <f>IF(O449="","",IF(OR(G449="channeling",G449="infusing"),"Magical",IF(G449="blocking","Anti-Physical",IF(G449="warding","Anti-Magical","Physical"))))</f>
        <v/>
      </c>
    </row>
    <row r="450">
      <c r="J450">
        <f>IF(G450="","",IFERROR(IF(G450="infusing",IFERROR(LOOKUP(2,1/ISNUMBER(SEARCH(_lookup!$D$3:$D$4,H450)),_lookup!$E$3:$E$4),"INT"),VLOOKUP(G450,_lookup!$A$3:$B$14,2,FALSE)),""))</f>
        <v/>
      </c>
      <c r="K450">
        <f>IF(F450&lt;&gt;"weapon","",IF(G450="miscellaneous","1-4",IF(I450="","",IFERROR(VLOOKUP(I450&amp;"|"&amp;IF(LEFT(H450,2)="2H",2,1)&amp;"|"&amp;IF(G450="slashing",1,0),_lookup!$G$3:$H$18,2,FALSE),""))))</f>
        <v/>
      </c>
      <c r="L450">
        <f>IF(K450="","",IF(OR(G450="channeling",G450="infusing"),"Magical",IF(G450="blocking","Anti-Physical",IF(G450="warding","Anti-Magical","Physical"))))</f>
        <v/>
      </c>
      <c r="O450">
        <f>IF(F450&lt;&gt;"armor","","TBD")</f>
        <v/>
      </c>
      <c r="P450">
        <f>IF(O450="","",IF(OR(G450="channeling",G450="infusing"),"Magical",IF(G450="blocking","Anti-Physical",IF(G450="warding","Anti-Magical","Physical"))))</f>
        <v/>
      </c>
    </row>
    <row r="451">
      <c r="J451">
        <f>IF(G451="","",IFERROR(IF(G451="infusing",IFERROR(LOOKUP(2,1/ISNUMBER(SEARCH(_lookup!$D$3:$D$4,H451)),_lookup!$E$3:$E$4),"INT"),VLOOKUP(G451,_lookup!$A$3:$B$14,2,FALSE)),""))</f>
        <v/>
      </c>
      <c r="K451">
        <f>IF(F451&lt;&gt;"weapon","",IF(G451="miscellaneous","1-4",IF(I451="","",IFERROR(VLOOKUP(I451&amp;"|"&amp;IF(LEFT(H451,2)="2H",2,1)&amp;"|"&amp;IF(G451="slashing",1,0),_lookup!$G$3:$H$18,2,FALSE),""))))</f>
        <v/>
      </c>
      <c r="L451">
        <f>IF(K451="","",IF(OR(G451="channeling",G451="infusing"),"Magical",IF(G451="blocking","Anti-Physical",IF(G451="warding","Anti-Magical","Physical"))))</f>
        <v/>
      </c>
      <c r="O451">
        <f>IF(F451&lt;&gt;"armor","","TBD")</f>
        <v/>
      </c>
      <c r="P451">
        <f>IF(O451="","",IF(OR(G451="channeling",G451="infusing"),"Magical",IF(G451="blocking","Anti-Physical",IF(G451="warding","Anti-Magical","Physical"))))</f>
        <v/>
      </c>
    </row>
    <row r="452">
      <c r="J452">
        <f>IF(G452="","",IFERROR(IF(G452="infusing",IFERROR(LOOKUP(2,1/ISNUMBER(SEARCH(_lookup!$D$3:$D$4,H452)),_lookup!$E$3:$E$4),"INT"),VLOOKUP(G452,_lookup!$A$3:$B$14,2,FALSE)),""))</f>
        <v/>
      </c>
      <c r="K452">
        <f>IF(F452&lt;&gt;"weapon","",IF(G452="miscellaneous","1-4",IF(I452="","",IFERROR(VLOOKUP(I452&amp;"|"&amp;IF(LEFT(H452,2)="2H",2,1)&amp;"|"&amp;IF(G452="slashing",1,0),_lookup!$G$3:$H$18,2,FALSE),""))))</f>
        <v/>
      </c>
      <c r="L452">
        <f>IF(K452="","",IF(OR(G452="channeling",G452="infusing"),"Magical",IF(G452="blocking","Anti-Physical",IF(G452="warding","Anti-Magical","Physical"))))</f>
        <v/>
      </c>
      <c r="O452">
        <f>IF(F452&lt;&gt;"armor","","TBD")</f>
        <v/>
      </c>
      <c r="P452">
        <f>IF(O452="","",IF(OR(G452="channeling",G452="infusing"),"Magical",IF(G452="blocking","Anti-Physical",IF(G452="warding","Anti-Magical","Physical"))))</f>
        <v/>
      </c>
    </row>
    <row r="453">
      <c r="J453">
        <f>IF(G453="","",IFERROR(IF(G453="infusing",IFERROR(LOOKUP(2,1/ISNUMBER(SEARCH(_lookup!$D$3:$D$4,H453)),_lookup!$E$3:$E$4),"INT"),VLOOKUP(G453,_lookup!$A$3:$B$14,2,FALSE)),""))</f>
        <v/>
      </c>
      <c r="K453">
        <f>IF(F453&lt;&gt;"weapon","",IF(G453="miscellaneous","1-4",IF(I453="","",IFERROR(VLOOKUP(I453&amp;"|"&amp;IF(LEFT(H453,2)="2H",2,1)&amp;"|"&amp;IF(G453="slashing",1,0),_lookup!$G$3:$H$18,2,FALSE),""))))</f>
        <v/>
      </c>
      <c r="L453">
        <f>IF(K453="","",IF(OR(G453="channeling",G453="infusing"),"Magical",IF(G453="blocking","Anti-Physical",IF(G453="warding","Anti-Magical","Physical"))))</f>
        <v/>
      </c>
      <c r="O453">
        <f>IF(F453&lt;&gt;"armor","","TBD")</f>
        <v/>
      </c>
      <c r="P453">
        <f>IF(O453="","",IF(OR(G453="channeling",G453="infusing"),"Magical",IF(G453="blocking","Anti-Physical",IF(G453="warding","Anti-Magical","Physical"))))</f>
        <v/>
      </c>
    </row>
    <row r="454">
      <c r="J454">
        <f>IF(G454="","",IFERROR(IF(G454="infusing",IFERROR(LOOKUP(2,1/ISNUMBER(SEARCH(_lookup!$D$3:$D$4,H454)),_lookup!$E$3:$E$4),"INT"),VLOOKUP(G454,_lookup!$A$3:$B$14,2,FALSE)),""))</f>
        <v/>
      </c>
      <c r="K454">
        <f>IF(F454&lt;&gt;"weapon","",IF(G454="miscellaneous","1-4",IF(I454="","",IFERROR(VLOOKUP(I454&amp;"|"&amp;IF(LEFT(H454,2)="2H",2,1)&amp;"|"&amp;IF(G454="slashing",1,0),_lookup!$G$3:$H$18,2,FALSE),""))))</f>
        <v/>
      </c>
      <c r="L454">
        <f>IF(K454="","",IF(OR(G454="channeling",G454="infusing"),"Magical",IF(G454="blocking","Anti-Physical",IF(G454="warding","Anti-Magical","Physical"))))</f>
        <v/>
      </c>
      <c r="O454">
        <f>IF(F454&lt;&gt;"armor","","TBD")</f>
        <v/>
      </c>
      <c r="P454">
        <f>IF(O454="","",IF(OR(G454="channeling",G454="infusing"),"Magical",IF(G454="blocking","Anti-Physical",IF(G454="warding","Anti-Magical","Physical"))))</f>
        <v/>
      </c>
    </row>
    <row r="455">
      <c r="J455">
        <f>IF(G455="","",IFERROR(IF(G455="infusing",IFERROR(LOOKUP(2,1/ISNUMBER(SEARCH(_lookup!$D$3:$D$4,H455)),_lookup!$E$3:$E$4),"INT"),VLOOKUP(G455,_lookup!$A$3:$B$14,2,FALSE)),""))</f>
        <v/>
      </c>
      <c r="K455">
        <f>IF(F455&lt;&gt;"weapon","",IF(G455="miscellaneous","1-4",IF(I455="","",IFERROR(VLOOKUP(I455&amp;"|"&amp;IF(LEFT(H455,2)="2H",2,1)&amp;"|"&amp;IF(G455="slashing",1,0),_lookup!$G$3:$H$18,2,FALSE),""))))</f>
        <v/>
      </c>
      <c r="L455">
        <f>IF(K455="","",IF(OR(G455="channeling",G455="infusing"),"Magical",IF(G455="blocking","Anti-Physical",IF(G455="warding","Anti-Magical","Physical"))))</f>
        <v/>
      </c>
      <c r="O455">
        <f>IF(F455&lt;&gt;"armor","","TBD")</f>
        <v/>
      </c>
      <c r="P455">
        <f>IF(O455="","",IF(OR(G455="channeling",G455="infusing"),"Magical",IF(G455="blocking","Anti-Physical",IF(G455="warding","Anti-Magical","Physical"))))</f>
        <v/>
      </c>
    </row>
    <row r="456">
      <c r="J456">
        <f>IF(G456="","",IFERROR(IF(G456="infusing",IFERROR(LOOKUP(2,1/ISNUMBER(SEARCH(_lookup!$D$3:$D$4,H456)),_lookup!$E$3:$E$4),"INT"),VLOOKUP(G456,_lookup!$A$3:$B$14,2,FALSE)),""))</f>
        <v/>
      </c>
      <c r="K456">
        <f>IF(F456&lt;&gt;"weapon","",IF(G456="miscellaneous","1-4",IF(I456="","",IFERROR(VLOOKUP(I456&amp;"|"&amp;IF(LEFT(H456,2)="2H",2,1)&amp;"|"&amp;IF(G456="slashing",1,0),_lookup!$G$3:$H$18,2,FALSE),""))))</f>
        <v/>
      </c>
      <c r="L456">
        <f>IF(K456="","",IF(OR(G456="channeling",G456="infusing"),"Magical",IF(G456="blocking","Anti-Physical",IF(G456="warding","Anti-Magical","Physical"))))</f>
        <v/>
      </c>
      <c r="O456">
        <f>IF(F456&lt;&gt;"armor","","TBD")</f>
        <v/>
      </c>
      <c r="P456">
        <f>IF(O456="","",IF(OR(G456="channeling",G456="infusing"),"Magical",IF(G456="blocking","Anti-Physical",IF(G456="warding","Anti-Magical","Physical"))))</f>
        <v/>
      </c>
    </row>
    <row r="457">
      <c r="J457">
        <f>IF(G457="","",IFERROR(IF(G457="infusing",IFERROR(LOOKUP(2,1/ISNUMBER(SEARCH(_lookup!$D$3:$D$4,H457)),_lookup!$E$3:$E$4),"INT"),VLOOKUP(G457,_lookup!$A$3:$B$14,2,FALSE)),""))</f>
        <v/>
      </c>
      <c r="K457">
        <f>IF(F457&lt;&gt;"weapon","",IF(G457="miscellaneous","1-4",IF(I457="","",IFERROR(VLOOKUP(I457&amp;"|"&amp;IF(LEFT(H457,2)="2H",2,1)&amp;"|"&amp;IF(G457="slashing",1,0),_lookup!$G$3:$H$18,2,FALSE),""))))</f>
        <v/>
      </c>
      <c r="L457">
        <f>IF(K457="","",IF(OR(G457="channeling",G457="infusing"),"Magical",IF(G457="blocking","Anti-Physical",IF(G457="warding","Anti-Magical","Physical"))))</f>
        <v/>
      </c>
      <c r="O457">
        <f>IF(F457&lt;&gt;"armor","","TBD")</f>
        <v/>
      </c>
      <c r="P457">
        <f>IF(O457="","",IF(OR(G457="channeling",G457="infusing"),"Magical",IF(G457="blocking","Anti-Physical",IF(G457="warding","Anti-Magical","Physical"))))</f>
        <v/>
      </c>
    </row>
    <row r="458">
      <c r="J458">
        <f>IF(G458="","",IFERROR(IF(G458="infusing",IFERROR(LOOKUP(2,1/ISNUMBER(SEARCH(_lookup!$D$3:$D$4,H458)),_lookup!$E$3:$E$4),"INT"),VLOOKUP(G458,_lookup!$A$3:$B$14,2,FALSE)),""))</f>
        <v/>
      </c>
      <c r="K458">
        <f>IF(F458&lt;&gt;"weapon","",IF(G458="miscellaneous","1-4",IF(I458="","",IFERROR(VLOOKUP(I458&amp;"|"&amp;IF(LEFT(H458,2)="2H",2,1)&amp;"|"&amp;IF(G458="slashing",1,0),_lookup!$G$3:$H$18,2,FALSE),""))))</f>
        <v/>
      </c>
      <c r="L458">
        <f>IF(K458="","",IF(OR(G458="channeling",G458="infusing"),"Magical",IF(G458="blocking","Anti-Physical",IF(G458="warding","Anti-Magical","Physical"))))</f>
        <v/>
      </c>
      <c r="O458">
        <f>IF(F458&lt;&gt;"armor","","TBD")</f>
        <v/>
      </c>
      <c r="P458">
        <f>IF(O458="","",IF(OR(G458="channeling",G458="infusing"),"Magical",IF(G458="blocking","Anti-Physical",IF(G458="warding","Anti-Magical","Physical"))))</f>
        <v/>
      </c>
    </row>
    <row r="459">
      <c r="J459">
        <f>IF(G459="","",IFERROR(IF(G459="infusing",IFERROR(LOOKUP(2,1/ISNUMBER(SEARCH(_lookup!$D$3:$D$4,H459)),_lookup!$E$3:$E$4),"INT"),VLOOKUP(G459,_lookup!$A$3:$B$14,2,FALSE)),""))</f>
        <v/>
      </c>
      <c r="K459">
        <f>IF(F459&lt;&gt;"weapon","",IF(G459="miscellaneous","1-4",IF(I459="","",IFERROR(VLOOKUP(I459&amp;"|"&amp;IF(LEFT(H459,2)="2H",2,1)&amp;"|"&amp;IF(G459="slashing",1,0),_lookup!$G$3:$H$18,2,FALSE),""))))</f>
        <v/>
      </c>
      <c r="L459">
        <f>IF(K459="","",IF(OR(G459="channeling",G459="infusing"),"Magical",IF(G459="blocking","Anti-Physical",IF(G459="warding","Anti-Magical","Physical"))))</f>
        <v/>
      </c>
      <c r="O459">
        <f>IF(F459&lt;&gt;"armor","","TBD")</f>
        <v/>
      </c>
      <c r="P459">
        <f>IF(O459="","",IF(OR(G459="channeling",G459="infusing"),"Magical",IF(G459="blocking","Anti-Physical",IF(G459="warding","Anti-Magical","Physical"))))</f>
        <v/>
      </c>
    </row>
    <row r="460">
      <c r="J460">
        <f>IF(G460="","",IFERROR(IF(G460="infusing",IFERROR(LOOKUP(2,1/ISNUMBER(SEARCH(_lookup!$D$3:$D$4,H460)),_lookup!$E$3:$E$4),"INT"),VLOOKUP(G460,_lookup!$A$3:$B$14,2,FALSE)),""))</f>
        <v/>
      </c>
      <c r="K460">
        <f>IF(F460&lt;&gt;"weapon","",IF(G460="miscellaneous","1-4",IF(I460="","",IFERROR(VLOOKUP(I460&amp;"|"&amp;IF(LEFT(H460,2)="2H",2,1)&amp;"|"&amp;IF(G460="slashing",1,0),_lookup!$G$3:$H$18,2,FALSE),""))))</f>
        <v/>
      </c>
      <c r="L460">
        <f>IF(K460="","",IF(OR(G460="channeling",G460="infusing"),"Magical",IF(G460="blocking","Anti-Physical",IF(G460="warding","Anti-Magical","Physical"))))</f>
        <v/>
      </c>
      <c r="O460">
        <f>IF(F460&lt;&gt;"armor","","TBD")</f>
        <v/>
      </c>
      <c r="P460">
        <f>IF(O460="","",IF(OR(G460="channeling",G460="infusing"),"Magical",IF(G460="blocking","Anti-Physical",IF(G460="warding","Anti-Magical","Physical"))))</f>
        <v/>
      </c>
    </row>
    <row r="461">
      <c r="J461">
        <f>IF(G461="","",IFERROR(IF(G461="infusing",IFERROR(LOOKUP(2,1/ISNUMBER(SEARCH(_lookup!$D$3:$D$4,H461)),_lookup!$E$3:$E$4),"INT"),VLOOKUP(G461,_lookup!$A$3:$B$14,2,FALSE)),""))</f>
        <v/>
      </c>
      <c r="K461">
        <f>IF(F461&lt;&gt;"weapon","",IF(G461="miscellaneous","1-4",IF(I461="","",IFERROR(VLOOKUP(I461&amp;"|"&amp;IF(LEFT(H461,2)="2H",2,1)&amp;"|"&amp;IF(G461="slashing",1,0),_lookup!$G$3:$H$18,2,FALSE),""))))</f>
        <v/>
      </c>
      <c r="L461">
        <f>IF(K461="","",IF(OR(G461="channeling",G461="infusing"),"Magical",IF(G461="blocking","Anti-Physical",IF(G461="warding","Anti-Magical","Physical"))))</f>
        <v/>
      </c>
      <c r="O461">
        <f>IF(F461&lt;&gt;"armor","","TBD")</f>
        <v/>
      </c>
      <c r="P461">
        <f>IF(O461="","",IF(OR(G461="channeling",G461="infusing"),"Magical",IF(G461="blocking","Anti-Physical",IF(G461="warding","Anti-Magical","Physical"))))</f>
        <v/>
      </c>
    </row>
    <row r="462">
      <c r="J462">
        <f>IF(G462="","",IFERROR(IF(G462="infusing",IFERROR(LOOKUP(2,1/ISNUMBER(SEARCH(_lookup!$D$3:$D$4,H462)),_lookup!$E$3:$E$4),"INT"),VLOOKUP(G462,_lookup!$A$3:$B$14,2,FALSE)),""))</f>
        <v/>
      </c>
      <c r="K462">
        <f>IF(F462&lt;&gt;"weapon","",IF(G462="miscellaneous","1-4",IF(I462="","",IFERROR(VLOOKUP(I462&amp;"|"&amp;IF(LEFT(H462,2)="2H",2,1)&amp;"|"&amp;IF(G462="slashing",1,0),_lookup!$G$3:$H$18,2,FALSE),""))))</f>
        <v/>
      </c>
      <c r="L462">
        <f>IF(K462="","",IF(OR(G462="channeling",G462="infusing"),"Magical",IF(G462="blocking","Anti-Physical",IF(G462="warding","Anti-Magical","Physical"))))</f>
        <v/>
      </c>
      <c r="O462">
        <f>IF(F462&lt;&gt;"armor","","TBD")</f>
        <v/>
      </c>
      <c r="P462">
        <f>IF(O462="","",IF(OR(G462="channeling",G462="infusing"),"Magical",IF(G462="blocking","Anti-Physical",IF(G462="warding","Anti-Magical","Physical"))))</f>
        <v/>
      </c>
    </row>
    <row r="463">
      <c r="J463">
        <f>IF(G463="","",IFERROR(IF(G463="infusing",IFERROR(LOOKUP(2,1/ISNUMBER(SEARCH(_lookup!$D$3:$D$4,H463)),_lookup!$E$3:$E$4),"INT"),VLOOKUP(G463,_lookup!$A$3:$B$14,2,FALSE)),""))</f>
        <v/>
      </c>
      <c r="K463">
        <f>IF(F463&lt;&gt;"weapon","",IF(G463="miscellaneous","1-4",IF(I463="","",IFERROR(VLOOKUP(I463&amp;"|"&amp;IF(LEFT(H463,2)="2H",2,1)&amp;"|"&amp;IF(G463="slashing",1,0),_lookup!$G$3:$H$18,2,FALSE),""))))</f>
        <v/>
      </c>
      <c r="L463">
        <f>IF(K463="","",IF(OR(G463="channeling",G463="infusing"),"Magical",IF(G463="blocking","Anti-Physical",IF(G463="warding","Anti-Magical","Physical"))))</f>
        <v/>
      </c>
      <c r="O463">
        <f>IF(F463&lt;&gt;"armor","","TBD")</f>
        <v/>
      </c>
      <c r="P463">
        <f>IF(O463="","",IF(OR(G463="channeling",G463="infusing"),"Magical",IF(G463="blocking","Anti-Physical",IF(G463="warding","Anti-Magical","Physical"))))</f>
        <v/>
      </c>
    </row>
    <row r="464">
      <c r="J464">
        <f>IF(G464="","",IFERROR(IF(G464="infusing",IFERROR(LOOKUP(2,1/ISNUMBER(SEARCH(_lookup!$D$3:$D$4,H464)),_lookup!$E$3:$E$4),"INT"),VLOOKUP(G464,_lookup!$A$3:$B$14,2,FALSE)),""))</f>
        <v/>
      </c>
      <c r="K464">
        <f>IF(F464&lt;&gt;"weapon","",IF(G464="miscellaneous","1-4",IF(I464="","",IFERROR(VLOOKUP(I464&amp;"|"&amp;IF(LEFT(H464,2)="2H",2,1)&amp;"|"&amp;IF(G464="slashing",1,0),_lookup!$G$3:$H$18,2,FALSE),""))))</f>
        <v/>
      </c>
      <c r="L464">
        <f>IF(K464="","",IF(OR(G464="channeling",G464="infusing"),"Magical",IF(G464="blocking","Anti-Physical",IF(G464="warding","Anti-Magical","Physical"))))</f>
        <v/>
      </c>
      <c r="O464">
        <f>IF(F464&lt;&gt;"armor","","TBD")</f>
        <v/>
      </c>
      <c r="P464">
        <f>IF(O464="","",IF(OR(G464="channeling",G464="infusing"),"Magical",IF(G464="blocking","Anti-Physical",IF(G464="warding","Anti-Magical","Physical"))))</f>
        <v/>
      </c>
    </row>
    <row r="465">
      <c r="J465">
        <f>IF(G465="","",IFERROR(IF(G465="infusing",IFERROR(LOOKUP(2,1/ISNUMBER(SEARCH(_lookup!$D$3:$D$4,H465)),_lookup!$E$3:$E$4),"INT"),VLOOKUP(G465,_lookup!$A$3:$B$14,2,FALSE)),""))</f>
        <v/>
      </c>
      <c r="K465">
        <f>IF(F465&lt;&gt;"weapon","",IF(G465="miscellaneous","1-4",IF(I465="","",IFERROR(VLOOKUP(I465&amp;"|"&amp;IF(LEFT(H465,2)="2H",2,1)&amp;"|"&amp;IF(G465="slashing",1,0),_lookup!$G$3:$H$18,2,FALSE),""))))</f>
        <v/>
      </c>
      <c r="L465">
        <f>IF(K465="","",IF(OR(G465="channeling",G465="infusing"),"Magical",IF(G465="blocking","Anti-Physical",IF(G465="warding","Anti-Magical","Physical"))))</f>
        <v/>
      </c>
      <c r="O465">
        <f>IF(F465&lt;&gt;"armor","","TBD")</f>
        <v/>
      </c>
      <c r="P465">
        <f>IF(O465="","",IF(OR(G465="channeling",G465="infusing"),"Magical",IF(G465="blocking","Anti-Physical",IF(G465="warding","Anti-Magical","Physical"))))</f>
        <v/>
      </c>
    </row>
    <row r="466">
      <c r="J466">
        <f>IF(G466="","",IFERROR(IF(G466="infusing",IFERROR(LOOKUP(2,1/ISNUMBER(SEARCH(_lookup!$D$3:$D$4,H466)),_lookup!$E$3:$E$4),"INT"),VLOOKUP(G466,_lookup!$A$3:$B$14,2,FALSE)),""))</f>
        <v/>
      </c>
      <c r="K466">
        <f>IF(F466&lt;&gt;"weapon","",IF(G466="miscellaneous","1-4",IF(I466="","",IFERROR(VLOOKUP(I466&amp;"|"&amp;IF(LEFT(H466,2)="2H",2,1)&amp;"|"&amp;IF(G466="slashing",1,0),_lookup!$G$3:$H$18,2,FALSE),""))))</f>
        <v/>
      </c>
      <c r="L466">
        <f>IF(K466="","",IF(OR(G466="channeling",G466="infusing"),"Magical",IF(G466="blocking","Anti-Physical",IF(G466="warding","Anti-Magical","Physical"))))</f>
        <v/>
      </c>
      <c r="O466">
        <f>IF(F466&lt;&gt;"armor","","TBD")</f>
        <v/>
      </c>
      <c r="P466">
        <f>IF(O466="","",IF(OR(G466="channeling",G466="infusing"),"Magical",IF(G466="blocking","Anti-Physical",IF(G466="warding","Anti-Magical","Physical"))))</f>
        <v/>
      </c>
    </row>
    <row r="467">
      <c r="J467">
        <f>IF(G467="","",IFERROR(IF(G467="infusing",IFERROR(LOOKUP(2,1/ISNUMBER(SEARCH(_lookup!$D$3:$D$4,H467)),_lookup!$E$3:$E$4),"INT"),VLOOKUP(G467,_lookup!$A$3:$B$14,2,FALSE)),""))</f>
        <v/>
      </c>
      <c r="K467">
        <f>IF(F467&lt;&gt;"weapon","",IF(G467="miscellaneous","1-4",IF(I467="","",IFERROR(VLOOKUP(I467&amp;"|"&amp;IF(LEFT(H467,2)="2H",2,1)&amp;"|"&amp;IF(G467="slashing",1,0),_lookup!$G$3:$H$18,2,FALSE),""))))</f>
        <v/>
      </c>
      <c r="L467">
        <f>IF(K467="","",IF(OR(G467="channeling",G467="infusing"),"Magical",IF(G467="blocking","Anti-Physical",IF(G467="warding","Anti-Magical","Physical"))))</f>
        <v/>
      </c>
      <c r="O467">
        <f>IF(F467&lt;&gt;"armor","","TBD")</f>
        <v/>
      </c>
      <c r="P467">
        <f>IF(O467="","",IF(OR(G467="channeling",G467="infusing"),"Magical",IF(G467="blocking","Anti-Physical",IF(G467="warding","Anti-Magical","Physical"))))</f>
        <v/>
      </c>
    </row>
    <row r="468">
      <c r="J468">
        <f>IF(G468="","",IFERROR(IF(G468="infusing",IFERROR(LOOKUP(2,1/ISNUMBER(SEARCH(_lookup!$D$3:$D$4,H468)),_lookup!$E$3:$E$4),"INT"),VLOOKUP(G468,_lookup!$A$3:$B$14,2,FALSE)),""))</f>
        <v/>
      </c>
      <c r="K468">
        <f>IF(F468&lt;&gt;"weapon","",IF(G468="miscellaneous","1-4",IF(I468="","",IFERROR(VLOOKUP(I468&amp;"|"&amp;IF(LEFT(H468,2)="2H",2,1)&amp;"|"&amp;IF(G468="slashing",1,0),_lookup!$G$3:$H$18,2,FALSE),""))))</f>
        <v/>
      </c>
      <c r="L468">
        <f>IF(K468="","",IF(OR(G468="channeling",G468="infusing"),"Magical",IF(G468="blocking","Anti-Physical",IF(G468="warding","Anti-Magical","Physical"))))</f>
        <v/>
      </c>
      <c r="O468">
        <f>IF(F468&lt;&gt;"armor","","TBD")</f>
        <v/>
      </c>
      <c r="P468">
        <f>IF(O468="","",IF(OR(G468="channeling",G468="infusing"),"Magical",IF(G468="blocking","Anti-Physical",IF(G468="warding","Anti-Magical","Physical"))))</f>
        <v/>
      </c>
    </row>
    <row r="469">
      <c r="J469">
        <f>IF(G469="","",IFERROR(IF(G469="infusing",IFERROR(LOOKUP(2,1/ISNUMBER(SEARCH(_lookup!$D$3:$D$4,H469)),_lookup!$E$3:$E$4),"INT"),VLOOKUP(G469,_lookup!$A$3:$B$14,2,FALSE)),""))</f>
        <v/>
      </c>
      <c r="K469">
        <f>IF(F469&lt;&gt;"weapon","",IF(G469="miscellaneous","1-4",IF(I469="","",IFERROR(VLOOKUP(I469&amp;"|"&amp;IF(LEFT(H469,2)="2H",2,1)&amp;"|"&amp;IF(G469="slashing",1,0),_lookup!$G$3:$H$18,2,FALSE),""))))</f>
        <v/>
      </c>
      <c r="L469">
        <f>IF(K469="","",IF(OR(G469="channeling",G469="infusing"),"Magical",IF(G469="blocking","Anti-Physical",IF(G469="warding","Anti-Magical","Physical"))))</f>
        <v/>
      </c>
      <c r="O469">
        <f>IF(F469&lt;&gt;"armor","","TBD")</f>
        <v/>
      </c>
      <c r="P469">
        <f>IF(O469="","",IF(OR(G469="channeling",G469="infusing"),"Magical",IF(G469="blocking","Anti-Physical",IF(G469="warding","Anti-Magical","Physical"))))</f>
        <v/>
      </c>
    </row>
    <row r="470">
      <c r="J470">
        <f>IF(G470="","",IFERROR(IF(G470="infusing",IFERROR(LOOKUP(2,1/ISNUMBER(SEARCH(_lookup!$D$3:$D$4,H470)),_lookup!$E$3:$E$4),"INT"),VLOOKUP(G470,_lookup!$A$3:$B$14,2,FALSE)),""))</f>
        <v/>
      </c>
      <c r="K470">
        <f>IF(F470&lt;&gt;"weapon","",IF(G470="miscellaneous","1-4",IF(I470="","",IFERROR(VLOOKUP(I470&amp;"|"&amp;IF(LEFT(H470,2)="2H",2,1)&amp;"|"&amp;IF(G470="slashing",1,0),_lookup!$G$3:$H$18,2,FALSE),""))))</f>
        <v/>
      </c>
      <c r="L470">
        <f>IF(K470="","",IF(OR(G470="channeling",G470="infusing"),"Magical",IF(G470="blocking","Anti-Physical",IF(G470="warding","Anti-Magical","Physical"))))</f>
        <v/>
      </c>
      <c r="O470">
        <f>IF(F470&lt;&gt;"armor","","TBD")</f>
        <v/>
      </c>
      <c r="P470">
        <f>IF(O470="","",IF(OR(G470="channeling",G470="infusing"),"Magical",IF(G470="blocking","Anti-Physical",IF(G470="warding","Anti-Magical","Physical"))))</f>
        <v/>
      </c>
    </row>
    <row r="471">
      <c r="J471">
        <f>IF(G471="","",IFERROR(IF(G471="infusing",IFERROR(LOOKUP(2,1/ISNUMBER(SEARCH(_lookup!$D$3:$D$4,H471)),_lookup!$E$3:$E$4),"INT"),VLOOKUP(G471,_lookup!$A$3:$B$14,2,FALSE)),""))</f>
        <v/>
      </c>
      <c r="K471">
        <f>IF(F471&lt;&gt;"weapon","",IF(G471="miscellaneous","1-4",IF(I471="","",IFERROR(VLOOKUP(I471&amp;"|"&amp;IF(LEFT(H471,2)="2H",2,1)&amp;"|"&amp;IF(G471="slashing",1,0),_lookup!$G$3:$H$18,2,FALSE),""))))</f>
        <v/>
      </c>
      <c r="L471">
        <f>IF(K471="","",IF(OR(G471="channeling",G471="infusing"),"Magical",IF(G471="blocking","Anti-Physical",IF(G471="warding","Anti-Magical","Physical"))))</f>
        <v/>
      </c>
      <c r="O471">
        <f>IF(F471&lt;&gt;"armor","","TBD")</f>
        <v/>
      </c>
      <c r="P471">
        <f>IF(O471="","",IF(OR(G471="channeling",G471="infusing"),"Magical",IF(G471="blocking","Anti-Physical",IF(G471="warding","Anti-Magical","Physical"))))</f>
        <v/>
      </c>
    </row>
    <row r="472">
      <c r="J472">
        <f>IF(G472="","",IFERROR(IF(G472="infusing",IFERROR(LOOKUP(2,1/ISNUMBER(SEARCH(_lookup!$D$3:$D$4,H472)),_lookup!$E$3:$E$4),"INT"),VLOOKUP(G472,_lookup!$A$3:$B$14,2,FALSE)),""))</f>
        <v/>
      </c>
      <c r="K472">
        <f>IF(F472&lt;&gt;"weapon","",IF(G472="miscellaneous","1-4",IF(I472="","",IFERROR(VLOOKUP(I472&amp;"|"&amp;IF(LEFT(H472,2)="2H",2,1)&amp;"|"&amp;IF(G472="slashing",1,0),_lookup!$G$3:$H$18,2,FALSE),""))))</f>
        <v/>
      </c>
      <c r="L472">
        <f>IF(K472="","",IF(OR(G472="channeling",G472="infusing"),"Magical",IF(G472="blocking","Anti-Physical",IF(G472="warding","Anti-Magical","Physical"))))</f>
        <v/>
      </c>
      <c r="O472">
        <f>IF(F472&lt;&gt;"armor","","TBD")</f>
        <v/>
      </c>
      <c r="P472">
        <f>IF(O472="","",IF(OR(G472="channeling",G472="infusing"),"Magical",IF(G472="blocking","Anti-Physical",IF(G472="warding","Anti-Magical","Physical"))))</f>
        <v/>
      </c>
    </row>
    <row r="473">
      <c r="J473">
        <f>IF(G473="","",IFERROR(IF(G473="infusing",IFERROR(LOOKUP(2,1/ISNUMBER(SEARCH(_lookup!$D$3:$D$4,H473)),_lookup!$E$3:$E$4),"INT"),VLOOKUP(G473,_lookup!$A$3:$B$14,2,FALSE)),""))</f>
        <v/>
      </c>
      <c r="K473">
        <f>IF(F473&lt;&gt;"weapon","",IF(G473="miscellaneous","1-4",IF(I473="","",IFERROR(VLOOKUP(I473&amp;"|"&amp;IF(LEFT(H473,2)="2H",2,1)&amp;"|"&amp;IF(G473="slashing",1,0),_lookup!$G$3:$H$18,2,FALSE),""))))</f>
        <v/>
      </c>
      <c r="L473">
        <f>IF(K473="","",IF(OR(G473="channeling",G473="infusing"),"Magical",IF(G473="blocking","Anti-Physical",IF(G473="warding","Anti-Magical","Physical"))))</f>
        <v/>
      </c>
      <c r="O473">
        <f>IF(F473&lt;&gt;"armor","","TBD")</f>
        <v/>
      </c>
      <c r="P473">
        <f>IF(O473="","",IF(OR(G473="channeling",G473="infusing"),"Magical",IF(G473="blocking","Anti-Physical",IF(G473="warding","Anti-Magical","Physical"))))</f>
        <v/>
      </c>
    </row>
    <row r="474">
      <c r="J474">
        <f>IF(G474="","",IFERROR(IF(G474="infusing",IFERROR(LOOKUP(2,1/ISNUMBER(SEARCH(_lookup!$D$3:$D$4,H474)),_lookup!$E$3:$E$4),"INT"),VLOOKUP(G474,_lookup!$A$3:$B$14,2,FALSE)),""))</f>
        <v/>
      </c>
      <c r="K474">
        <f>IF(F474&lt;&gt;"weapon","",IF(G474="miscellaneous","1-4",IF(I474="","",IFERROR(VLOOKUP(I474&amp;"|"&amp;IF(LEFT(H474,2)="2H",2,1)&amp;"|"&amp;IF(G474="slashing",1,0),_lookup!$G$3:$H$18,2,FALSE),""))))</f>
        <v/>
      </c>
      <c r="L474">
        <f>IF(K474="","",IF(OR(G474="channeling",G474="infusing"),"Magical",IF(G474="blocking","Anti-Physical",IF(G474="warding","Anti-Magical","Physical"))))</f>
        <v/>
      </c>
      <c r="O474">
        <f>IF(F474&lt;&gt;"armor","","TBD")</f>
        <v/>
      </c>
      <c r="P474">
        <f>IF(O474="","",IF(OR(G474="channeling",G474="infusing"),"Magical",IF(G474="blocking","Anti-Physical",IF(G474="warding","Anti-Magical","Physical"))))</f>
        <v/>
      </c>
    </row>
    <row r="475">
      <c r="J475">
        <f>IF(G475="","",IFERROR(IF(G475="infusing",IFERROR(LOOKUP(2,1/ISNUMBER(SEARCH(_lookup!$D$3:$D$4,H475)),_lookup!$E$3:$E$4),"INT"),VLOOKUP(G475,_lookup!$A$3:$B$14,2,FALSE)),""))</f>
        <v/>
      </c>
      <c r="K475">
        <f>IF(F475&lt;&gt;"weapon","",IF(G475="miscellaneous","1-4",IF(I475="","",IFERROR(VLOOKUP(I475&amp;"|"&amp;IF(LEFT(H475,2)="2H",2,1)&amp;"|"&amp;IF(G475="slashing",1,0),_lookup!$G$3:$H$18,2,FALSE),""))))</f>
        <v/>
      </c>
      <c r="L475">
        <f>IF(K475="","",IF(OR(G475="channeling",G475="infusing"),"Magical",IF(G475="blocking","Anti-Physical",IF(G475="warding","Anti-Magical","Physical"))))</f>
        <v/>
      </c>
      <c r="O475">
        <f>IF(F475&lt;&gt;"armor","","TBD")</f>
        <v/>
      </c>
      <c r="P475">
        <f>IF(O475="","",IF(OR(G475="channeling",G475="infusing"),"Magical",IF(G475="blocking","Anti-Physical",IF(G475="warding","Anti-Magical","Physical"))))</f>
        <v/>
      </c>
    </row>
    <row r="476">
      <c r="J476">
        <f>IF(G476="","",IFERROR(IF(G476="infusing",IFERROR(LOOKUP(2,1/ISNUMBER(SEARCH(_lookup!$D$3:$D$4,H476)),_lookup!$E$3:$E$4),"INT"),VLOOKUP(G476,_lookup!$A$3:$B$14,2,FALSE)),""))</f>
        <v/>
      </c>
      <c r="K476">
        <f>IF(F476&lt;&gt;"weapon","",IF(G476="miscellaneous","1-4",IF(I476="","",IFERROR(VLOOKUP(I476&amp;"|"&amp;IF(LEFT(H476,2)="2H",2,1)&amp;"|"&amp;IF(G476="slashing",1,0),_lookup!$G$3:$H$18,2,FALSE),""))))</f>
        <v/>
      </c>
      <c r="L476">
        <f>IF(K476="","",IF(OR(G476="channeling",G476="infusing"),"Magical",IF(G476="blocking","Anti-Physical",IF(G476="warding","Anti-Magical","Physical"))))</f>
        <v/>
      </c>
      <c r="O476">
        <f>IF(F476&lt;&gt;"armor","","TBD")</f>
        <v/>
      </c>
      <c r="P476">
        <f>IF(O476="","",IF(OR(G476="channeling",G476="infusing"),"Magical",IF(G476="blocking","Anti-Physical",IF(G476="warding","Anti-Magical","Physical"))))</f>
        <v/>
      </c>
    </row>
    <row r="477">
      <c r="J477">
        <f>IF(G477="","",IFERROR(IF(G477="infusing",IFERROR(LOOKUP(2,1/ISNUMBER(SEARCH(_lookup!$D$3:$D$4,H477)),_lookup!$E$3:$E$4),"INT"),VLOOKUP(G477,_lookup!$A$3:$B$14,2,FALSE)),""))</f>
        <v/>
      </c>
      <c r="K477">
        <f>IF(F477&lt;&gt;"weapon","",IF(G477="miscellaneous","1-4",IF(I477="","",IFERROR(VLOOKUP(I477&amp;"|"&amp;IF(LEFT(H477,2)="2H",2,1)&amp;"|"&amp;IF(G477="slashing",1,0),_lookup!$G$3:$H$18,2,FALSE),""))))</f>
        <v/>
      </c>
      <c r="L477">
        <f>IF(K477="","",IF(OR(G477="channeling",G477="infusing"),"Magical",IF(G477="blocking","Anti-Physical",IF(G477="warding","Anti-Magical","Physical"))))</f>
        <v/>
      </c>
      <c r="O477">
        <f>IF(F477&lt;&gt;"armor","","TBD")</f>
        <v/>
      </c>
      <c r="P477">
        <f>IF(O477="","",IF(OR(G477="channeling",G477="infusing"),"Magical",IF(G477="blocking","Anti-Physical",IF(G477="warding","Anti-Magical","Physical"))))</f>
        <v/>
      </c>
    </row>
    <row r="478">
      <c r="J478">
        <f>IF(G478="","",IFERROR(IF(G478="infusing",IFERROR(LOOKUP(2,1/ISNUMBER(SEARCH(_lookup!$D$3:$D$4,H478)),_lookup!$E$3:$E$4),"INT"),VLOOKUP(G478,_lookup!$A$3:$B$14,2,FALSE)),""))</f>
        <v/>
      </c>
      <c r="K478">
        <f>IF(F478&lt;&gt;"weapon","",IF(G478="miscellaneous","1-4",IF(I478="","",IFERROR(VLOOKUP(I478&amp;"|"&amp;IF(LEFT(H478,2)="2H",2,1)&amp;"|"&amp;IF(G478="slashing",1,0),_lookup!$G$3:$H$18,2,FALSE),""))))</f>
        <v/>
      </c>
      <c r="L478">
        <f>IF(K478="","",IF(OR(G478="channeling",G478="infusing"),"Magical",IF(G478="blocking","Anti-Physical",IF(G478="warding","Anti-Magical","Physical"))))</f>
        <v/>
      </c>
      <c r="O478">
        <f>IF(F478&lt;&gt;"armor","","TBD")</f>
        <v/>
      </c>
      <c r="P478">
        <f>IF(O478="","",IF(OR(G478="channeling",G478="infusing"),"Magical",IF(G478="blocking","Anti-Physical",IF(G478="warding","Anti-Magical","Physical"))))</f>
        <v/>
      </c>
    </row>
    <row r="479">
      <c r="J479">
        <f>IF(G479="","",IFERROR(IF(G479="infusing",IFERROR(LOOKUP(2,1/ISNUMBER(SEARCH(_lookup!$D$3:$D$4,H479)),_lookup!$E$3:$E$4),"INT"),VLOOKUP(G479,_lookup!$A$3:$B$14,2,FALSE)),""))</f>
        <v/>
      </c>
      <c r="K479">
        <f>IF(F479&lt;&gt;"weapon","",IF(G479="miscellaneous","1-4",IF(I479="","",IFERROR(VLOOKUP(I479&amp;"|"&amp;IF(LEFT(H479,2)="2H",2,1)&amp;"|"&amp;IF(G479="slashing",1,0),_lookup!$G$3:$H$18,2,FALSE),""))))</f>
        <v/>
      </c>
      <c r="L479">
        <f>IF(K479="","",IF(OR(G479="channeling",G479="infusing"),"Magical",IF(G479="blocking","Anti-Physical",IF(G479="warding","Anti-Magical","Physical"))))</f>
        <v/>
      </c>
      <c r="O479">
        <f>IF(F479&lt;&gt;"armor","","TBD")</f>
        <v/>
      </c>
      <c r="P479">
        <f>IF(O479="","",IF(OR(G479="channeling",G479="infusing"),"Magical",IF(G479="blocking","Anti-Physical",IF(G479="warding","Anti-Magical","Physical"))))</f>
        <v/>
      </c>
    </row>
    <row r="480">
      <c r="J480">
        <f>IF(G480="","",IFERROR(IF(G480="infusing",IFERROR(LOOKUP(2,1/ISNUMBER(SEARCH(_lookup!$D$3:$D$4,H480)),_lookup!$E$3:$E$4),"INT"),VLOOKUP(G480,_lookup!$A$3:$B$14,2,FALSE)),""))</f>
        <v/>
      </c>
      <c r="K480">
        <f>IF(F480&lt;&gt;"weapon","",IF(G480="miscellaneous","1-4",IF(I480="","",IFERROR(VLOOKUP(I480&amp;"|"&amp;IF(LEFT(H480,2)="2H",2,1)&amp;"|"&amp;IF(G480="slashing",1,0),_lookup!$G$3:$H$18,2,FALSE),""))))</f>
        <v/>
      </c>
      <c r="L480">
        <f>IF(K480="","",IF(OR(G480="channeling",G480="infusing"),"Magical",IF(G480="blocking","Anti-Physical",IF(G480="warding","Anti-Magical","Physical"))))</f>
        <v/>
      </c>
      <c r="O480">
        <f>IF(F480&lt;&gt;"armor","","TBD")</f>
        <v/>
      </c>
      <c r="P480">
        <f>IF(O480="","",IF(OR(G480="channeling",G480="infusing"),"Magical",IF(G480="blocking","Anti-Physical",IF(G480="warding","Anti-Magical","Physical"))))</f>
        <v/>
      </c>
    </row>
    <row r="481">
      <c r="J481">
        <f>IF(G481="","",IFERROR(IF(G481="infusing",IFERROR(LOOKUP(2,1/ISNUMBER(SEARCH(_lookup!$D$3:$D$4,H481)),_lookup!$E$3:$E$4),"INT"),VLOOKUP(G481,_lookup!$A$3:$B$14,2,FALSE)),""))</f>
        <v/>
      </c>
      <c r="K481">
        <f>IF(F481&lt;&gt;"weapon","",IF(G481="miscellaneous","1-4",IF(I481="","",IFERROR(VLOOKUP(I481&amp;"|"&amp;IF(LEFT(H481,2)="2H",2,1)&amp;"|"&amp;IF(G481="slashing",1,0),_lookup!$G$3:$H$18,2,FALSE),""))))</f>
        <v/>
      </c>
      <c r="L481">
        <f>IF(K481="","",IF(OR(G481="channeling",G481="infusing"),"Magical",IF(G481="blocking","Anti-Physical",IF(G481="warding","Anti-Magical","Physical"))))</f>
        <v/>
      </c>
      <c r="O481">
        <f>IF(F481&lt;&gt;"armor","","TBD")</f>
        <v/>
      </c>
      <c r="P481">
        <f>IF(O481="","",IF(OR(G481="channeling",G481="infusing"),"Magical",IF(G481="blocking","Anti-Physical",IF(G481="warding","Anti-Magical","Physical"))))</f>
        <v/>
      </c>
    </row>
    <row r="482">
      <c r="J482">
        <f>IF(G482="","",IFERROR(IF(G482="infusing",IFERROR(LOOKUP(2,1/ISNUMBER(SEARCH(_lookup!$D$3:$D$4,H482)),_lookup!$E$3:$E$4),"INT"),VLOOKUP(G482,_lookup!$A$3:$B$14,2,FALSE)),""))</f>
        <v/>
      </c>
      <c r="K482">
        <f>IF(F482&lt;&gt;"weapon","",IF(G482="miscellaneous","1-4",IF(I482="","",IFERROR(VLOOKUP(I482&amp;"|"&amp;IF(LEFT(H482,2)="2H",2,1)&amp;"|"&amp;IF(G482="slashing",1,0),_lookup!$G$3:$H$18,2,FALSE),""))))</f>
        <v/>
      </c>
      <c r="L482">
        <f>IF(K482="","",IF(OR(G482="channeling",G482="infusing"),"Magical",IF(G482="blocking","Anti-Physical",IF(G482="warding","Anti-Magical","Physical"))))</f>
        <v/>
      </c>
      <c r="O482">
        <f>IF(F482&lt;&gt;"armor","","TBD")</f>
        <v/>
      </c>
      <c r="P482">
        <f>IF(O482="","",IF(OR(G482="channeling",G482="infusing"),"Magical",IF(G482="blocking","Anti-Physical",IF(G482="warding","Anti-Magical","Physical"))))</f>
        <v/>
      </c>
    </row>
    <row r="483">
      <c r="J483">
        <f>IF(G483="","",IFERROR(IF(G483="infusing",IFERROR(LOOKUP(2,1/ISNUMBER(SEARCH(_lookup!$D$3:$D$4,H483)),_lookup!$E$3:$E$4),"INT"),VLOOKUP(G483,_lookup!$A$3:$B$14,2,FALSE)),""))</f>
        <v/>
      </c>
      <c r="K483">
        <f>IF(F483&lt;&gt;"weapon","",IF(G483="miscellaneous","1-4",IF(I483="","",IFERROR(VLOOKUP(I483&amp;"|"&amp;IF(LEFT(H483,2)="2H",2,1)&amp;"|"&amp;IF(G483="slashing",1,0),_lookup!$G$3:$H$18,2,FALSE),""))))</f>
        <v/>
      </c>
      <c r="L483">
        <f>IF(K483="","",IF(OR(G483="channeling",G483="infusing"),"Magical",IF(G483="blocking","Anti-Physical",IF(G483="warding","Anti-Magical","Physical"))))</f>
        <v/>
      </c>
      <c r="O483">
        <f>IF(F483&lt;&gt;"armor","","TBD")</f>
        <v/>
      </c>
      <c r="P483">
        <f>IF(O483="","",IF(OR(G483="channeling",G483="infusing"),"Magical",IF(G483="blocking","Anti-Physical",IF(G483="warding","Anti-Magical","Physical"))))</f>
        <v/>
      </c>
    </row>
    <row r="484">
      <c r="J484">
        <f>IF(G484="","",IFERROR(IF(G484="infusing",IFERROR(LOOKUP(2,1/ISNUMBER(SEARCH(_lookup!$D$3:$D$4,H484)),_lookup!$E$3:$E$4),"INT"),VLOOKUP(G484,_lookup!$A$3:$B$14,2,FALSE)),""))</f>
        <v/>
      </c>
      <c r="K484">
        <f>IF(F484&lt;&gt;"weapon","",IF(G484="miscellaneous","1-4",IF(I484="","",IFERROR(VLOOKUP(I484&amp;"|"&amp;IF(LEFT(H484,2)="2H",2,1)&amp;"|"&amp;IF(G484="slashing",1,0),_lookup!$G$3:$H$18,2,FALSE),""))))</f>
        <v/>
      </c>
      <c r="L484">
        <f>IF(K484="","",IF(OR(G484="channeling",G484="infusing"),"Magical",IF(G484="blocking","Anti-Physical",IF(G484="warding","Anti-Magical","Physical"))))</f>
        <v/>
      </c>
      <c r="O484">
        <f>IF(F484&lt;&gt;"armor","","TBD")</f>
        <v/>
      </c>
      <c r="P484">
        <f>IF(O484="","",IF(OR(G484="channeling",G484="infusing"),"Magical",IF(G484="blocking","Anti-Physical",IF(G484="warding","Anti-Magical","Physical"))))</f>
        <v/>
      </c>
    </row>
    <row r="485">
      <c r="J485">
        <f>IF(G485="","",IFERROR(IF(G485="infusing",IFERROR(LOOKUP(2,1/ISNUMBER(SEARCH(_lookup!$D$3:$D$4,H485)),_lookup!$E$3:$E$4),"INT"),VLOOKUP(G485,_lookup!$A$3:$B$14,2,FALSE)),""))</f>
        <v/>
      </c>
      <c r="K485">
        <f>IF(F485&lt;&gt;"weapon","",IF(G485="miscellaneous","1-4",IF(I485="","",IFERROR(VLOOKUP(I485&amp;"|"&amp;IF(LEFT(H485,2)="2H",2,1)&amp;"|"&amp;IF(G485="slashing",1,0),_lookup!$G$3:$H$18,2,FALSE),""))))</f>
        <v/>
      </c>
      <c r="L485">
        <f>IF(K485="","",IF(OR(G485="channeling",G485="infusing"),"Magical",IF(G485="blocking","Anti-Physical",IF(G485="warding","Anti-Magical","Physical"))))</f>
        <v/>
      </c>
      <c r="O485">
        <f>IF(F485&lt;&gt;"armor","","TBD")</f>
        <v/>
      </c>
      <c r="P485">
        <f>IF(O485="","",IF(OR(G485="channeling",G485="infusing"),"Magical",IF(G485="blocking","Anti-Physical",IF(G485="warding","Anti-Magical","Physical"))))</f>
        <v/>
      </c>
    </row>
    <row r="486">
      <c r="J486">
        <f>IF(G486="","",IFERROR(IF(G486="infusing",IFERROR(LOOKUP(2,1/ISNUMBER(SEARCH(_lookup!$D$3:$D$4,H486)),_lookup!$E$3:$E$4),"INT"),VLOOKUP(G486,_lookup!$A$3:$B$14,2,FALSE)),""))</f>
        <v/>
      </c>
      <c r="K486">
        <f>IF(F486&lt;&gt;"weapon","",IF(G486="miscellaneous","1-4",IF(I486="","",IFERROR(VLOOKUP(I486&amp;"|"&amp;IF(LEFT(H486,2)="2H",2,1)&amp;"|"&amp;IF(G486="slashing",1,0),_lookup!$G$3:$H$18,2,FALSE),""))))</f>
        <v/>
      </c>
      <c r="L486">
        <f>IF(K486="","",IF(OR(G486="channeling",G486="infusing"),"Magical",IF(G486="blocking","Anti-Physical",IF(G486="warding","Anti-Magical","Physical"))))</f>
        <v/>
      </c>
      <c r="O486">
        <f>IF(F486&lt;&gt;"armor","","TBD")</f>
        <v/>
      </c>
      <c r="P486">
        <f>IF(O486="","",IF(OR(G486="channeling",G486="infusing"),"Magical",IF(G486="blocking","Anti-Physical",IF(G486="warding","Anti-Magical","Physical"))))</f>
        <v/>
      </c>
    </row>
    <row r="487">
      <c r="J487">
        <f>IF(G487="","",IFERROR(IF(G487="infusing",IFERROR(LOOKUP(2,1/ISNUMBER(SEARCH(_lookup!$D$3:$D$4,H487)),_lookup!$E$3:$E$4),"INT"),VLOOKUP(G487,_lookup!$A$3:$B$14,2,FALSE)),""))</f>
        <v/>
      </c>
      <c r="K487">
        <f>IF(F487&lt;&gt;"weapon","",IF(G487="miscellaneous","1-4",IF(I487="","",IFERROR(VLOOKUP(I487&amp;"|"&amp;IF(LEFT(H487,2)="2H",2,1)&amp;"|"&amp;IF(G487="slashing",1,0),_lookup!$G$3:$H$18,2,FALSE),""))))</f>
        <v/>
      </c>
      <c r="L487">
        <f>IF(K487="","",IF(OR(G487="channeling",G487="infusing"),"Magical",IF(G487="blocking","Anti-Physical",IF(G487="warding","Anti-Magical","Physical"))))</f>
        <v/>
      </c>
      <c r="O487">
        <f>IF(F487&lt;&gt;"armor","","TBD")</f>
        <v/>
      </c>
      <c r="P487">
        <f>IF(O487="","",IF(OR(G487="channeling",G487="infusing"),"Magical",IF(G487="blocking","Anti-Physical",IF(G487="warding","Anti-Magical","Physical"))))</f>
        <v/>
      </c>
    </row>
    <row r="488">
      <c r="J488">
        <f>IF(G488="","",IFERROR(IF(G488="infusing",IFERROR(LOOKUP(2,1/ISNUMBER(SEARCH(_lookup!$D$3:$D$4,H488)),_lookup!$E$3:$E$4),"INT"),VLOOKUP(G488,_lookup!$A$3:$B$14,2,FALSE)),""))</f>
        <v/>
      </c>
      <c r="K488">
        <f>IF(F488&lt;&gt;"weapon","",IF(G488="miscellaneous","1-4",IF(I488="","",IFERROR(VLOOKUP(I488&amp;"|"&amp;IF(LEFT(H488,2)="2H",2,1)&amp;"|"&amp;IF(G488="slashing",1,0),_lookup!$G$3:$H$18,2,FALSE),""))))</f>
        <v/>
      </c>
      <c r="L488">
        <f>IF(K488="","",IF(OR(G488="channeling",G488="infusing"),"Magical",IF(G488="blocking","Anti-Physical",IF(G488="warding","Anti-Magical","Physical"))))</f>
        <v/>
      </c>
      <c r="O488">
        <f>IF(F488&lt;&gt;"armor","","TBD")</f>
        <v/>
      </c>
      <c r="P488">
        <f>IF(O488="","",IF(OR(G488="channeling",G488="infusing"),"Magical",IF(G488="blocking","Anti-Physical",IF(G488="warding","Anti-Magical","Physical"))))</f>
        <v/>
      </c>
    </row>
    <row r="489">
      <c r="J489">
        <f>IF(G489="","",IFERROR(IF(G489="infusing",IFERROR(LOOKUP(2,1/ISNUMBER(SEARCH(_lookup!$D$3:$D$4,H489)),_lookup!$E$3:$E$4),"INT"),VLOOKUP(G489,_lookup!$A$3:$B$14,2,FALSE)),""))</f>
        <v/>
      </c>
      <c r="K489">
        <f>IF(F489&lt;&gt;"weapon","",IF(G489="miscellaneous","1-4",IF(I489="","",IFERROR(VLOOKUP(I489&amp;"|"&amp;IF(LEFT(H489,2)="2H",2,1)&amp;"|"&amp;IF(G489="slashing",1,0),_lookup!$G$3:$H$18,2,FALSE),""))))</f>
        <v/>
      </c>
      <c r="L489">
        <f>IF(K489="","",IF(OR(G489="channeling",G489="infusing"),"Magical",IF(G489="blocking","Anti-Physical",IF(G489="warding","Anti-Magical","Physical"))))</f>
        <v/>
      </c>
      <c r="O489">
        <f>IF(F489&lt;&gt;"armor","","TBD")</f>
        <v/>
      </c>
      <c r="P489">
        <f>IF(O489="","",IF(OR(G489="channeling",G489="infusing"),"Magical",IF(G489="blocking","Anti-Physical",IF(G489="warding","Anti-Magical","Physical"))))</f>
        <v/>
      </c>
    </row>
    <row r="490">
      <c r="J490">
        <f>IF(G490="","",IFERROR(IF(G490="infusing",IFERROR(LOOKUP(2,1/ISNUMBER(SEARCH(_lookup!$D$3:$D$4,H490)),_lookup!$E$3:$E$4),"INT"),VLOOKUP(G490,_lookup!$A$3:$B$14,2,FALSE)),""))</f>
        <v/>
      </c>
      <c r="K490">
        <f>IF(F490&lt;&gt;"weapon","",IF(G490="miscellaneous","1-4",IF(I490="","",IFERROR(VLOOKUP(I490&amp;"|"&amp;IF(LEFT(H490,2)="2H",2,1)&amp;"|"&amp;IF(G490="slashing",1,0),_lookup!$G$3:$H$18,2,FALSE),""))))</f>
        <v/>
      </c>
      <c r="L490">
        <f>IF(K490="","",IF(OR(G490="channeling",G490="infusing"),"Magical",IF(G490="blocking","Anti-Physical",IF(G490="warding","Anti-Magical","Physical"))))</f>
        <v/>
      </c>
      <c r="O490">
        <f>IF(F490&lt;&gt;"armor","","TBD")</f>
        <v/>
      </c>
      <c r="P490">
        <f>IF(O490="","",IF(OR(G490="channeling",G490="infusing"),"Magical",IF(G490="blocking","Anti-Physical",IF(G490="warding","Anti-Magical","Physical"))))</f>
        <v/>
      </c>
    </row>
    <row r="491">
      <c r="J491">
        <f>IF(G491="","",IFERROR(IF(G491="infusing",IFERROR(LOOKUP(2,1/ISNUMBER(SEARCH(_lookup!$D$3:$D$4,H491)),_lookup!$E$3:$E$4),"INT"),VLOOKUP(G491,_lookup!$A$3:$B$14,2,FALSE)),""))</f>
        <v/>
      </c>
      <c r="K491">
        <f>IF(F491&lt;&gt;"weapon","",IF(G491="miscellaneous","1-4",IF(I491="","",IFERROR(VLOOKUP(I491&amp;"|"&amp;IF(LEFT(H491,2)="2H",2,1)&amp;"|"&amp;IF(G491="slashing",1,0),_lookup!$G$3:$H$18,2,FALSE),""))))</f>
        <v/>
      </c>
      <c r="L491">
        <f>IF(K491="","",IF(OR(G491="channeling",G491="infusing"),"Magical",IF(G491="blocking","Anti-Physical",IF(G491="warding","Anti-Magical","Physical"))))</f>
        <v/>
      </c>
      <c r="O491">
        <f>IF(F491&lt;&gt;"armor","","TBD")</f>
        <v/>
      </c>
      <c r="P491">
        <f>IF(O491="","",IF(OR(G491="channeling",G491="infusing"),"Magical",IF(G491="blocking","Anti-Physical",IF(G491="warding","Anti-Magical","Physical"))))</f>
        <v/>
      </c>
    </row>
    <row r="492">
      <c r="J492">
        <f>IF(G492="","",IFERROR(IF(G492="infusing",IFERROR(LOOKUP(2,1/ISNUMBER(SEARCH(_lookup!$D$3:$D$4,H492)),_lookup!$E$3:$E$4),"INT"),VLOOKUP(G492,_lookup!$A$3:$B$14,2,FALSE)),""))</f>
        <v/>
      </c>
      <c r="K492">
        <f>IF(F492&lt;&gt;"weapon","",IF(G492="miscellaneous","1-4",IF(I492="","",IFERROR(VLOOKUP(I492&amp;"|"&amp;IF(LEFT(H492,2)="2H",2,1)&amp;"|"&amp;IF(G492="slashing",1,0),_lookup!$G$3:$H$18,2,FALSE),""))))</f>
        <v/>
      </c>
      <c r="L492">
        <f>IF(K492="","",IF(OR(G492="channeling",G492="infusing"),"Magical",IF(G492="blocking","Anti-Physical",IF(G492="warding","Anti-Magical","Physical"))))</f>
        <v/>
      </c>
      <c r="O492">
        <f>IF(F492&lt;&gt;"armor","","TBD")</f>
        <v/>
      </c>
      <c r="P492">
        <f>IF(O492="","",IF(OR(G492="channeling",G492="infusing"),"Magical",IF(G492="blocking","Anti-Physical",IF(G492="warding","Anti-Magical","Physical"))))</f>
        <v/>
      </c>
    </row>
    <row r="493">
      <c r="J493">
        <f>IF(G493="","",IFERROR(IF(G493="infusing",IFERROR(LOOKUP(2,1/ISNUMBER(SEARCH(_lookup!$D$3:$D$4,H493)),_lookup!$E$3:$E$4),"INT"),VLOOKUP(G493,_lookup!$A$3:$B$14,2,FALSE)),""))</f>
        <v/>
      </c>
      <c r="K493">
        <f>IF(F493&lt;&gt;"weapon","",IF(G493="miscellaneous","1-4",IF(I493="","",IFERROR(VLOOKUP(I493&amp;"|"&amp;IF(LEFT(H493,2)="2H",2,1)&amp;"|"&amp;IF(G493="slashing",1,0),_lookup!$G$3:$H$18,2,FALSE),""))))</f>
        <v/>
      </c>
      <c r="L493">
        <f>IF(K493="","",IF(OR(G493="channeling",G493="infusing"),"Magical",IF(G493="blocking","Anti-Physical",IF(G493="warding","Anti-Magical","Physical"))))</f>
        <v/>
      </c>
      <c r="O493">
        <f>IF(F493&lt;&gt;"armor","","TBD")</f>
        <v/>
      </c>
      <c r="P493">
        <f>IF(O493="","",IF(OR(G493="channeling",G493="infusing"),"Magical",IF(G493="blocking","Anti-Physical",IF(G493="warding","Anti-Magical","Physical"))))</f>
        <v/>
      </c>
    </row>
    <row r="494">
      <c r="J494">
        <f>IF(G494="","",IFERROR(IF(G494="infusing",IFERROR(LOOKUP(2,1/ISNUMBER(SEARCH(_lookup!$D$3:$D$4,H494)),_lookup!$E$3:$E$4),"INT"),VLOOKUP(G494,_lookup!$A$3:$B$14,2,FALSE)),""))</f>
        <v/>
      </c>
      <c r="K494">
        <f>IF(F494&lt;&gt;"weapon","",IF(G494="miscellaneous","1-4",IF(I494="","",IFERROR(VLOOKUP(I494&amp;"|"&amp;IF(LEFT(H494,2)="2H",2,1)&amp;"|"&amp;IF(G494="slashing",1,0),_lookup!$G$3:$H$18,2,FALSE),""))))</f>
        <v/>
      </c>
      <c r="L494">
        <f>IF(K494="","",IF(OR(G494="channeling",G494="infusing"),"Magical",IF(G494="blocking","Anti-Physical",IF(G494="warding","Anti-Magical","Physical"))))</f>
        <v/>
      </c>
      <c r="O494">
        <f>IF(F494&lt;&gt;"armor","","TBD")</f>
        <v/>
      </c>
      <c r="P494">
        <f>IF(O494="","",IF(OR(G494="channeling",G494="infusing"),"Magical",IF(G494="blocking","Anti-Physical",IF(G494="warding","Anti-Magical","Physical"))))</f>
        <v/>
      </c>
    </row>
    <row r="495">
      <c r="J495">
        <f>IF(G495="","",IFERROR(IF(G495="infusing",IFERROR(LOOKUP(2,1/ISNUMBER(SEARCH(_lookup!$D$3:$D$4,H495)),_lookup!$E$3:$E$4),"INT"),VLOOKUP(G495,_lookup!$A$3:$B$14,2,FALSE)),""))</f>
        <v/>
      </c>
      <c r="K495">
        <f>IF(F495&lt;&gt;"weapon","",IF(G495="miscellaneous","1-4",IF(I495="","",IFERROR(VLOOKUP(I495&amp;"|"&amp;IF(LEFT(H495,2)="2H",2,1)&amp;"|"&amp;IF(G495="slashing",1,0),_lookup!$G$3:$H$18,2,FALSE),""))))</f>
        <v/>
      </c>
      <c r="L495">
        <f>IF(K495="","",IF(OR(G495="channeling",G495="infusing"),"Magical",IF(G495="blocking","Anti-Physical",IF(G495="warding","Anti-Magical","Physical"))))</f>
        <v/>
      </c>
      <c r="O495">
        <f>IF(F495&lt;&gt;"armor","","TBD")</f>
        <v/>
      </c>
      <c r="P495">
        <f>IF(O495="","",IF(OR(G495="channeling",G495="infusing"),"Magical",IF(G495="blocking","Anti-Physical",IF(G495="warding","Anti-Magical","Physical"))))</f>
        <v/>
      </c>
    </row>
    <row r="496">
      <c r="J496">
        <f>IF(G496="","",IFERROR(IF(G496="infusing",IFERROR(LOOKUP(2,1/ISNUMBER(SEARCH(_lookup!$D$3:$D$4,H496)),_lookup!$E$3:$E$4),"INT"),VLOOKUP(G496,_lookup!$A$3:$B$14,2,FALSE)),""))</f>
        <v/>
      </c>
      <c r="K496">
        <f>IF(F496&lt;&gt;"weapon","",IF(G496="miscellaneous","1-4",IF(I496="","",IFERROR(VLOOKUP(I496&amp;"|"&amp;IF(LEFT(H496,2)="2H",2,1)&amp;"|"&amp;IF(G496="slashing",1,0),_lookup!$G$3:$H$18,2,FALSE),""))))</f>
        <v/>
      </c>
      <c r="L496">
        <f>IF(K496="","",IF(OR(G496="channeling",G496="infusing"),"Magical",IF(G496="blocking","Anti-Physical",IF(G496="warding","Anti-Magical","Physical"))))</f>
        <v/>
      </c>
      <c r="O496">
        <f>IF(F496&lt;&gt;"armor","","TBD")</f>
        <v/>
      </c>
      <c r="P496">
        <f>IF(O496="","",IF(OR(G496="channeling",G496="infusing"),"Magical",IF(G496="blocking","Anti-Physical",IF(G496="warding","Anti-Magical","Physical"))))</f>
        <v/>
      </c>
    </row>
    <row r="497">
      <c r="J497">
        <f>IF(G497="","",IFERROR(IF(G497="infusing",IFERROR(LOOKUP(2,1/ISNUMBER(SEARCH(_lookup!$D$3:$D$4,H497)),_lookup!$E$3:$E$4),"INT"),VLOOKUP(G497,_lookup!$A$3:$B$14,2,FALSE)),""))</f>
        <v/>
      </c>
      <c r="K497">
        <f>IF(F497&lt;&gt;"weapon","",IF(G497="miscellaneous","1-4",IF(I497="","",IFERROR(VLOOKUP(I497&amp;"|"&amp;IF(LEFT(H497,2)="2H",2,1)&amp;"|"&amp;IF(G497="slashing",1,0),_lookup!$G$3:$H$18,2,FALSE),""))))</f>
        <v/>
      </c>
      <c r="L497">
        <f>IF(K497="","",IF(OR(G497="channeling",G497="infusing"),"Magical",IF(G497="blocking","Anti-Physical",IF(G497="warding","Anti-Magical","Physical"))))</f>
        <v/>
      </c>
      <c r="O497">
        <f>IF(F497&lt;&gt;"armor","","TBD")</f>
        <v/>
      </c>
      <c r="P497">
        <f>IF(O497="","",IF(OR(G497="channeling",G497="infusing"),"Magical",IF(G497="blocking","Anti-Physical",IF(G497="warding","Anti-Magical","Physical"))))</f>
        <v/>
      </c>
    </row>
    <row r="498">
      <c r="J498">
        <f>IF(G498="","",IFERROR(IF(G498="infusing",IFERROR(LOOKUP(2,1/ISNUMBER(SEARCH(_lookup!$D$3:$D$4,H498)),_lookup!$E$3:$E$4),"INT"),VLOOKUP(G498,_lookup!$A$3:$B$14,2,FALSE)),""))</f>
        <v/>
      </c>
      <c r="K498">
        <f>IF(F498&lt;&gt;"weapon","",IF(G498="miscellaneous","1-4",IF(I498="","",IFERROR(VLOOKUP(I498&amp;"|"&amp;IF(LEFT(H498,2)="2H",2,1)&amp;"|"&amp;IF(G498="slashing",1,0),_lookup!$G$3:$H$18,2,FALSE),""))))</f>
        <v/>
      </c>
      <c r="L498">
        <f>IF(K498="","",IF(OR(G498="channeling",G498="infusing"),"Magical",IF(G498="blocking","Anti-Physical",IF(G498="warding","Anti-Magical","Physical"))))</f>
        <v/>
      </c>
      <c r="O498">
        <f>IF(F498&lt;&gt;"armor","","TBD")</f>
        <v/>
      </c>
      <c r="P498">
        <f>IF(O498="","",IF(OR(G498="channeling",G498="infusing"),"Magical",IF(G498="blocking","Anti-Physical",IF(G498="warding","Anti-Magical","Physical"))))</f>
        <v/>
      </c>
    </row>
    <row r="499">
      <c r="J499">
        <f>IF(G499="","",IFERROR(IF(G499="infusing",IFERROR(LOOKUP(2,1/ISNUMBER(SEARCH(_lookup!$D$3:$D$4,H499)),_lookup!$E$3:$E$4),"INT"),VLOOKUP(G499,_lookup!$A$3:$B$14,2,FALSE)),""))</f>
        <v/>
      </c>
      <c r="K499">
        <f>IF(F499&lt;&gt;"weapon","",IF(G499="miscellaneous","1-4",IF(I499="","",IFERROR(VLOOKUP(I499&amp;"|"&amp;IF(LEFT(H499,2)="2H",2,1)&amp;"|"&amp;IF(G499="slashing",1,0),_lookup!$G$3:$H$18,2,FALSE),""))))</f>
        <v/>
      </c>
      <c r="L499">
        <f>IF(K499="","",IF(OR(G499="channeling",G499="infusing"),"Magical",IF(G499="blocking","Anti-Physical",IF(G499="warding","Anti-Magical","Physical"))))</f>
        <v/>
      </c>
      <c r="O499">
        <f>IF(F499&lt;&gt;"armor","","TBD")</f>
        <v/>
      </c>
      <c r="P499">
        <f>IF(O499="","",IF(OR(G499="channeling",G499="infusing"),"Magical",IF(G499="blocking","Anti-Physical",IF(G499="warding","Anti-Magical","Physical"))))</f>
        <v/>
      </c>
    </row>
    <row r="500">
      <c r="J500">
        <f>IF(G500="","",IFERROR(IF(G500="infusing",IFERROR(LOOKUP(2,1/ISNUMBER(SEARCH(_lookup!$D$3:$D$4,H500)),_lookup!$E$3:$E$4),"INT"),VLOOKUP(G500,_lookup!$A$3:$B$14,2,FALSE)),""))</f>
        <v/>
      </c>
      <c r="K500">
        <f>IF(F500&lt;&gt;"weapon","",IF(G500="miscellaneous","1-4",IF(I500="","",IFERROR(VLOOKUP(I500&amp;"|"&amp;IF(LEFT(H500,2)="2H",2,1)&amp;"|"&amp;IF(G500="slashing",1,0),_lookup!$G$3:$H$18,2,FALSE),""))))</f>
        <v/>
      </c>
      <c r="L500">
        <f>IF(K500="","",IF(OR(G500="channeling",G500="infusing"),"Magical",IF(G500="blocking","Anti-Physical",IF(G500="warding","Anti-Magical","Physical"))))</f>
        <v/>
      </c>
      <c r="O500">
        <f>IF(F500&lt;&gt;"armor","","TBD")</f>
        <v/>
      </c>
      <c r="P500">
        <f>IF(O500="","",IF(OR(G500="channeling",G500="infusing"),"Magical",IF(G500="blocking","Anti-Physical",IF(G500="warding","Anti-Magical","Physical"))))</f>
        <v/>
      </c>
    </row>
  </sheetData>
  <dataValidations count="2">
    <dataValidation sqref="G2:G500" showDropDown="0" showInputMessage="0" showErrorMessage="0" allowBlank="1" type="list">
      <formula1>INDIRECT(SUBSTITUTE($F2," ","_"))</formula1>
    </dataValidation>
    <dataValidation sqref="H2:H500" showDropDown="0" showInputMessage="0" showErrorMessage="0" allowBlank="1" type="list">
      <formula1>INDIRECT(SUBSTITUTE($G2,"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ySplit="1" topLeftCell="A2" activePane="bottomLeft" state="frozen"/>
      <selection pane="bottomLeft" activeCell="E31" sqref="E31"/>
    </sheetView>
  </sheetViews>
  <sheetFormatPr baseColWidth="8" defaultRowHeight="15"/>
  <cols>
    <col width="4.5703125" customWidth="1" min="1" max="1"/>
    <col width="8.5703125" customWidth="1" min="2" max="2"/>
    <col width="4" customWidth="1" min="3" max="3"/>
    <col width="8.28515625" customWidth="1" min="4" max="4"/>
    <col width="28" customWidth="1" min="5" max="5"/>
    <col width="7.5703125" customWidth="1" min="6" max="6"/>
    <col width="11.42578125" customWidth="1" min="7" max="7"/>
    <col width="12.28515625" customWidth="1" min="8" max="8"/>
    <col width="2.5703125" customWidth="1" min="9" max="9"/>
    <col width="4.28515625" customWidth="1" min="10" max="10"/>
    <col width="4.85546875" customWidth="1" min="11" max="11"/>
    <col width="4.42578125" customWidth="1" min="12" max="12"/>
    <col width="3.85546875" customWidth="1" min="13" max="13"/>
    <col width="3.140625" customWidth="1" min="14" max="14"/>
    <col width="3.7109375" customWidth="1" min="15" max="15"/>
    <col width="4" customWidth="1" min="16" max="16"/>
    <col width="3.42578125" customWidth="1" min="17" max="17"/>
    <col width="2.7109375" customWidth="1" min="18" max="18"/>
    <col width="6.28515625" customWidth="1" min="19" max="19"/>
    <col width="27.140625" customWidth="1" min="20" max="20"/>
    <col width="8.140625" customWidth="1" min="21" max="21"/>
    <col width="6" customWidth="1" min="25" max="25"/>
    <col width="7" customWidth="1" min="26" max="26"/>
  </cols>
  <sheetData>
    <row r="1">
      <c r="A1" s="10" t="inlineStr">
        <is>
          <t>item_id</t>
        </is>
      </c>
      <c r="B1" s="10" t="inlineStr">
        <is>
          <t>template</t>
        </is>
      </c>
      <c r="C1" s="10" t="inlineStr">
        <is>
          <t>tts_type</t>
        </is>
      </c>
      <c r="D1" s="10" t="inlineStr">
        <is>
          <t>set</t>
        </is>
      </c>
      <c r="E1" s="10" t="inlineStr">
        <is>
          <t>name</t>
        </is>
      </c>
      <c r="F1" s="10" t="inlineStr">
        <is>
          <t>type</t>
        </is>
      </c>
      <c r="G1" s="10" t="inlineStr">
        <is>
          <t>subtype</t>
        </is>
      </c>
      <c r="H1" s="10" t="inlineStr">
        <is>
          <t>subsubtype</t>
        </is>
      </c>
      <c r="I1" s="10" t="inlineStr">
        <is>
          <t>tier</t>
        </is>
      </c>
      <c r="J1" s="12" t="inlineStr">
        <is>
          <t>stat</t>
        </is>
      </c>
      <c r="K1" s="12" t="inlineStr">
        <is>
          <t>damage_range</t>
        </is>
      </c>
      <c r="L1" s="12" t="inlineStr">
        <is>
          <t>damage_type</t>
        </is>
      </c>
      <c r="M1" s="12" t="inlineStr">
        <is>
          <t>damage_range2</t>
        </is>
      </c>
      <c r="N1" s="12" t="inlineStr">
        <is>
          <t>damage_type2</t>
        </is>
      </c>
      <c r="O1" s="12" t="inlineStr">
        <is>
          <t>armor_range</t>
        </is>
      </c>
      <c r="P1" s="12" t="inlineStr">
        <is>
          <t>armor_type</t>
        </is>
      </c>
      <c r="Q1" s="12" t="inlineStr">
        <is>
          <t>armor_range2</t>
        </is>
      </c>
      <c r="R1" s="12" t="inlineStr">
        <is>
          <t>armor_type2</t>
        </is>
      </c>
      <c r="S1" s="15" t="inlineStr">
        <is>
          <t>base_gold</t>
        </is>
      </c>
      <c r="T1" s="10" t="inlineStr">
        <is>
          <t>effect</t>
        </is>
      </c>
      <c r="U1" s="10" t="inlineStr">
        <is>
          <t>flavor</t>
        </is>
      </c>
      <c r="V1" s="10" t="inlineStr">
        <is>
          <t>cooldown</t>
        </is>
      </c>
      <c r="W1" s="10" t="inlineStr">
        <is>
          <t>uses</t>
        </is>
      </c>
      <c r="X1" s="15" t="inlineStr">
        <is>
          <t>gmnotes</t>
        </is>
      </c>
      <c r="Y1" s="10" t="inlineStr">
        <is>
          <t>image_front</t>
        </is>
      </c>
      <c r="Z1" s="10" t="inlineStr">
        <is>
          <t>image_back</t>
        </is>
      </c>
    </row>
    <row r="2">
      <c r="A2" t="inlineStr">
        <is>
          <t>SK1</t>
        </is>
      </c>
      <c r="B2" t="inlineStr">
        <is>
          <t>item_template</t>
        </is>
      </c>
      <c r="C2" t="inlineStr">
        <is>
          <t>tile</t>
        </is>
      </c>
      <c r="D2" t="inlineStr">
        <is>
          <t>skills</t>
        </is>
      </c>
      <c r="E2" t="inlineStr">
        <is>
          <t>Novice Armorsmithing</t>
        </is>
      </c>
      <c r="F2" t="inlineStr">
        <is>
          <t>skill</t>
        </is>
      </c>
      <c r="G2" t="inlineStr">
        <is>
          <t>profession</t>
        </is>
      </c>
      <c r="H2" t="inlineStr">
        <is>
          <t>crafting</t>
        </is>
      </c>
      <c r="I2" t="inlineStr">
        <is>
          <t>0</t>
        </is>
      </c>
      <c r="J2">
        <f>IF(G2="","",IFERROR(IF(G2="infusing",IFERROR(LOOKUP(2,1/ISNUMBER(SEARCH(_lookup!$D$3:$D$4,H2)),_lookup!$E$3:$E$4),"INT"),VLOOKUP(G2,_lookup!$A$3:$B$14,2,FALSE)),""))</f>
        <v/>
      </c>
      <c r="K2">
        <f>IF(F2&lt;&gt;"weapon","",IF(G2="miscellaneous","1-4",IF(I2="","",IFERROR(VLOOKUP(I2&amp;"|"&amp;IF(LEFT(H2,2)="2H",2,1)&amp;"|"&amp;IF(G2="slashing",1,0),_lookup!$G$3:$H$18,2,FALSE),""))))</f>
        <v/>
      </c>
      <c r="L2">
        <f>IF(K2="","",IF(OR(G2="channeling",G2="infusing"),"Magical",IF(G2="blocking","Anti-Physical",IF(G2="warding","Anti-Magical","Physical"))))</f>
        <v/>
      </c>
      <c r="O2">
        <f>IF(F2&lt;&gt;"armor","","TBD")</f>
        <v/>
      </c>
      <c r="P2">
        <f>IF(O2="","",IF(OR(G2="channeling",G2="infusing"),"Magical",IF(G2="blocking","Anti-Physical",IF(G2="warding","Anti-Magical","Physical"))))</f>
        <v/>
      </c>
      <c r="S2" t="n">
        <v>24</v>
      </c>
      <c r="T2" t="inlineStr">
        <is>
          <t>Turns ore into tier-specific heavy armor and blocking weapons.</t>
        </is>
      </c>
      <c r="U2" t="inlineStr">
        <is>
          <t>You can beat a plate flat and rivet it to a strap. It will turn a claw, mostly, and the straps will hold for a season.</t>
        </is>
      </c>
      <c r="Y2" t="inlineStr">
        <is>
          <t>https://drive.google.com/uc?export=download&amp;id=19fHlCGroOvRb89QfIU7LrQrB90peJuqj</t>
        </is>
      </c>
    </row>
    <row r="3">
      <c r="A3" t="inlineStr">
        <is>
          <t>SK2</t>
        </is>
      </c>
      <c r="B3" t="inlineStr">
        <is>
          <t>item_template</t>
        </is>
      </c>
      <c r="C3" t="inlineStr">
        <is>
          <t>tile</t>
        </is>
      </c>
      <c r="D3" t="inlineStr">
        <is>
          <t>skills</t>
        </is>
      </c>
      <c r="E3" t="inlineStr">
        <is>
          <t>Journeyman Armorsmithing</t>
        </is>
      </c>
      <c r="F3" t="inlineStr">
        <is>
          <t>skill</t>
        </is>
      </c>
      <c r="G3" t="inlineStr">
        <is>
          <t>profession</t>
        </is>
      </c>
      <c r="H3" t="inlineStr">
        <is>
          <t>crafting</t>
        </is>
      </c>
      <c r="I3" t="inlineStr">
        <is>
          <t>1</t>
        </is>
      </c>
      <c r="J3">
        <f>IF(G3="","",IFERROR(IF(G3="infusing",IFERROR(LOOKUP(2,1/ISNUMBER(SEARCH(_lookup!$D$3:$D$4,H3)),_lookup!$E$3:$E$4),"INT"),VLOOKUP(G3,_lookup!$A$3:$B$14,2,FALSE)),""))</f>
        <v/>
      </c>
      <c r="K3">
        <f>IF(F3&lt;&gt;"weapon","",IF(G3="miscellaneous","1-4",IF(I3="","",IFERROR(VLOOKUP(I3&amp;"|"&amp;IF(LEFT(H3,2)="2H",2,1)&amp;"|"&amp;IF(G3="slashing",1,0),_lookup!$G$3:$H$18,2,FALSE),""))))</f>
        <v/>
      </c>
      <c r="L3">
        <f>IF(K3="","",IF(OR(G3="channeling",G3="infusing"),"Magical",IF(G3="blocking","Anti-Physical",IF(G3="warding","Anti-Magical","Physical"))))</f>
        <v/>
      </c>
      <c r="O3">
        <f>IF(F3&lt;&gt;"armor","","TBD")</f>
        <v/>
      </c>
      <c r="P3">
        <f>IF(O3="","",IF(OR(G3="channeling",G3="infusing"),"Magical",IF(G3="blocking","Anti-Physical",IF(G3="warding","Anti-Magical","Physical"))))</f>
        <v/>
      </c>
      <c r="S3" t="n">
        <v>72</v>
      </c>
      <c r="T3" t="inlineStr">
        <is>
          <t>Turns ore into tier-specific heavy armor and blocking weapons.</t>
        </is>
      </c>
      <c r="U3" t="inlineStr">
        <is>
          <t>You have learned where armor actually fails: the gaps, the hinges, the places a blow travels through. Yours fail there less often.</t>
        </is>
      </c>
      <c r="Y3" t="inlineStr">
        <is>
          <t>https://drive.google.com/uc?export=download&amp;id=19fHlCGroOvRb89QfIU7LrQrB90peJuqj</t>
        </is>
      </c>
    </row>
    <row r="4">
      <c r="A4" t="inlineStr">
        <is>
          <t>SK3</t>
        </is>
      </c>
      <c r="B4" t="inlineStr">
        <is>
          <t>item_template</t>
        </is>
      </c>
      <c r="C4" t="inlineStr">
        <is>
          <t>tile</t>
        </is>
      </c>
      <c r="D4" t="inlineStr">
        <is>
          <t>skills</t>
        </is>
      </c>
      <c r="E4" t="inlineStr">
        <is>
          <t>Artisan Armorsmithing</t>
        </is>
      </c>
      <c r="F4" t="inlineStr">
        <is>
          <t>skill</t>
        </is>
      </c>
      <c r="G4" t="inlineStr">
        <is>
          <t>profession</t>
        </is>
      </c>
      <c r="H4" t="inlineStr">
        <is>
          <t>crafting</t>
        </is>
      </c>
      <c r="I4" t="inlineStr">
        <is>
          <t>2</t>
        </is>
      </c>
      <c r="J4">
        <f>IF(G4="","",IFERROR(IF(G4="infusing",IFERROR(LOOKUP(2,1/ISNUMBER(SEARCH(_lookup!$D$3:$D$4,H4)),_lookup!$E$3:$E$4),"INT"),VLOOKUP(G4,_lookup!$A$3:$B$14,2,FALSE)),""))</f>
        <v/>
      </c>
      <c r="K4">
        <f>IF(F4&lt;&gt;"weapon","",IF(G4="miscellaneous","1-4",IF(I4="","",IFERROR(VLOOKUP(I4&amp;"|"&amp;IF(LEFT(H4,2)="2H",2,1)&amp;"|"&amp;IF(G4="slashing",1,0),_lookup!$G$3:$H$18,2,FALSE),""))))</f>
        <v/>
      </c>
      <c r="L4">
        <f>IF(K4="","",IF(OR(G4="channeling",G4="infusing"),"Magical",IF(G4="blocking","Anti-Physical",IF(G4="warding","Anti-Magical","Physical"))))</f>
        <v/>
      </c>
      <c r="O4">
        <f>IF(F4&lt;&gt;"armor","","TBD")</f>
        <v/>
      </c>
      <c r="P4">
        <f>IF(O4="","",IF(OR(G4="channeling",G4="infusing"),"Magical",IF(G4="blocking","Anti-Physical",IF(G4="warding","Anti-Magical","Physical"))))</f>
        <v/>
      </c>
      <c r="S4" t="n">
        <v>288</v>
      </c>
      <c r="T4" t="inlineStr">
        <is>
          <t>Turns ore into tier-specific heavy armor and blocking weapons.</t>
        </is>
      </c>
      <c r="U4" t="inlineStr">
        <is>
          <t>Your plate is shaped to the body that will wear it, and the joints move as the wearer does. Soldiers ask for you by name.</t>
        </is>
      </c>
      <c r="Y4" t="inlineStr">
        <is>
          <t>https://drive.google.com/uc?export=download&amp;id=19fHlCGroOvRb89QfIU7LrQrB90peJuqj</t>
        </is>
      </c>
    </row>
    <row r="5">
      <c r="A5" t="inlineStr">
        <is>
          <t>SK4</t>
        </is>
      </c>
      <c r="B5" t="inlineStr">
        <is>
          <t>item_template</t>
        </is>
      </c>
      <c r="C5" t="inlineStr">
        <is>
          <t>tile</t>
        </is>
      </c>
      <c r="D5" t="inlineStr">
        <is>
          <t>skills</t>
        </is>
      </c>
      <c r="E5" t="inlineStr">
        <is>
          <t>Master Armorsmithing</t>
        </is>
      </c>
      <c r="F5" t="inlineStr">
        <is>
          <t>skill</t>
        </is>
      </c>
      <c r="G5" t="inlineStr">
        <is>
          <t>profession</t>
        </is>
      </c>
      <c r="H5" t="inlineStr">
        <is>
          <t>crafting</t>
        </is>
      </c>
      <c r="I5" t="inlineStr">
        <is>
          <t>3</t>
        </is>
      </c>
      <c r="J5">
        <f>IF(G5="","",IFERROR(IF(G5="infusing",IFERROR(LOOKUP(2,1/ISNUMBER(SEARCH(_lookup!$D$3:$D$4,H5)),_lookup!$E$3:$E$4),"INT"),VLOOKUP(G5,_lookup!$A$3:$B$14,2,FALSE)),""))</f>
        <v/>
      </c>
      <c r="K5">
        <f>IF(F5&lt;&gt;"weapon","",IF(G5="miscellaneous","1-4",IF(I5="","",IFERROR(VLOOKUP(I5&amp;"|"&amp;IF(LEFT(H5,2)="2H",2,1)&amp;"|"&amp;IF(G5="slashing",1,0),_lookup!$G$3:$H$18,2,FALSE),""))))</f>
        <v/>
      </c>
      <c r="L5">
        <f>IF(K5="","",IF(OR(G5="channeling",G5="infusing"),"Magical",IF(G5="blocking","Anti-Physical",IF(G5="warding","Anti-Magical","Physical"))))</f>
        <v/>
      </c>
      <c r="O5">
        <f>IF(F5&lt;&gt;"armor","","TBD")</f>
        <v/>
      </c>
      <c r="P5">
        <f>IF(O5="","",IF(OR(G5="channeling",G5="infusing"),"Magical",IF(G5="blocking","Anti-Physical",IF(G5="warding","Anti-Magical","Physical"))))</f>
        <v/>
      </c>
      <c r="S5" t="n">
        <v>800</v>
      </c>
      <c r="T5" t="inlineStr">
        <is>
          <t>Turns ore into tier-specific heavy armor and blocking weapons.</t>
        </is>
      </c>
      <c r="U5" t="inlineStr">
        <is>
          <t>You work the hard ores others set aside, and what comes off your bench is handed down rather than replaced. Few smiths in the Woodland can match it.</t>
        </is>
      </c>
      <c r="Y5" t="inlineStr">
        <is>
          <t>https://drive.google.com/uc?export=download&amp;id=19fHlCGroOvRb89QfIU7LrQrB90peJuqj</t>
        </is>
      </c>
    </row>
    <row r="6">
      <c r="A6" t="inlineStr">
        <is>
          <t>SK5</t>
        </is>
      </c>
      <c r="B6" t="inlineStr">
        <is>
          <t>item_template</t>
        </is>
      </c>
      <c r="C6" t="inlineStr">
        <is>
          <t>tile</t>
        </is>
      </c>
      <c r="D6" t="inlineStr">
        <is>
          <t>skills</t>
        </is>
      </c>
      <c r="E6" t="inlineStr">
        <is>
          <t>Novice Attuning</t>
        </is>
      </c>
      <c r="F6" t="inlineStr">
        <is>
          <t>skill</t>
        </is>
      </c>
      <c r="G6" t="inlineStr">
        <is>
          <t>profession</t>
        </is>
      </c>
      <c r="H6" t="inlineStr">
        <is>
          <t>crafting</t>
        </is>
      </c>
      <c r="I6" t="inlineStr">
        <is>
          <t>0</t>
        </is>
      </c>
      <c r="J6">
        <f>IF(G6="","",IFERROR(IF(G6="infusing",IFERROR(LOOKUP(2,1/ISNUMBER(SEARCH(_lookup!$D$3:$D$4,H6)),_lookup!$E$3:$E$4),"INT"),VLOOKUP(G6,_lookup!$A$3:$B$14,2,FALSE)),""))</f>
        <v/>
      </c>
      <c r="K6">
        <f>IF(F6&lt;&gt;"weapon","",IF(G6="miscellaneous","1-4",IF(I6="","",IFERROR(VLOOKUP(I6&amp;"|"&amp;IF(LEFT(H6,2)="2H",2,1)&amp;"|"&amp;IF(G6="slashing",1,0),_lookup!$G$3:$H$18,2,FALSE),""))))</f>
        <v/>
      </c>
      <c r="L6">
        <f>IF(K6="","",IF(OR(G6="channeling",G6="infusing"),"Magical",IF(G6="blocking","Anti-Physical",IF(G6="warding","Anti-Magical","Physical"))))</f>
        <v/>
      </c>
      <c r="O6">
        <f>IF(F6&lt;&gt;"armor","","TBD")</f>
        <v/>
      </c>
      <c r="P6">
        <f>IF(O6="","",IF(OR(G6="channeling",G6="infusing"),"Magical",IF(G6="blocking","Anti-Physical",IF(G6="warding","Anti-Magical","Physical"))))</f>
        <v/>
      </c>
      <c r="S6" t="n">
        <v>24</v>
      </c>
      <c r="T6" t="inlineStr">
        <is>
          <t>Turns fiber and seeds into tier-specific infusions and spell-dust.</t>
        </is>
      </c>
      <c r="U6" t="inlineStr">
        <is>
          <t>You can extract just enough magic from the flora's fibers to hold an infusion. When held, its light is faint and the binding loose, but it is yours.</t>
        </is>
      </c>
      <c r="Y6" t="inlineStr">
        <is>
          <t>https://drive.google.com/uc?export=download&amp;id=1H-H68vYBLXccnjOnVscyZiHF4LvNpLU9</t>
        </is>
      </c>
    </row>
    <row r="7">
      <c r="A7" t="inlineStr">
        <is>
          <t>SK6</t>
        </is>
      </c>
      <c r="B7" t="inlineStr">
        <is>
          <t>item_template</t>
        </is>
      </c>
      <c r="C7" t="inlineStr">
        <is>
          <t>tile</t>
        </is>
      </c>
      <c r="D7" t="inlineStr">
        <is>
          <t>skills</t>
        </is>
      </c>
      <c r="E7" t="inlineStr">
        <is>
          <t>Journeyman Attuning</t>
        </is>
      </c>
      <c r="F7" t="inlineStr">
        <is>
          <t>skill</t>
        </is>
      </c>
      <c r="G7" t="inlineStr">
        <is>
          <t>profession</t>
        </is>
      </c>
      <c r="H7" t="inlineStr">
        <is>
          <t>crafting</t>
        </is>
      </c>
      <c r="I7" t="inlineStr">
        <is>
          <t>1</t>
        </is>
      </c>
      <c r="J7">
        <f>IF(G7="","",IFERROR(IF(G7="infusing",IFERROR(LOOKUP(2,1/ISNUMBER(SEARCH(_lookup!$D$3:$D$4,H7)),_lookup!$E$3:$E$4),"INT"),VLOOKUP(G7,_lookup!$A$3:$B$14,2,FALSE)),""))</f>
        <v/>
      </c>
      <c r="K7">
        <f>IF(F7&lt;&gt;"weapon","",IF(G7="miscellaneous","1-4",IF(I7="","",IFERROR(VLOOKUP(I7&amp;"|"&amp;IF(LEFT(H7,2)="2H",2,1)&amp;"|"&amp;IF(G7="slashing",1,0),_lookup!$G$3:$H$18,2,FALSE),""))))</f>
        <v/>
      </c>
      <c r="L7">
        <f>IF(K7="","",IF(OR(G7="channeling",G7="infusing"),"Magical",IF(G7="blocking","Anti-Physical",IF(G7="warding","Anti-Magical","Physical"))))</f>
        <v/>
      </c>
      <c r="O7">
        <f>IF(F7&lt;&gt;"armor","","TBD")</f>
        <v/>
      </c>
      <c r="P7">
        <f>IF(O7="","",IF(OR(G7="channeling",G7="infusing"),"Magical",IF(G7="blocking","Anti-Physical",IF(G7="warding","Anti-Magical","Physical"))))</f>
        <v/>
      </c>
      <c r="S7" t="n">
        <v>72</v>
      </c>
      <c r="T7" t="inlineStr">
        <is>
          <t>Turns fiber and seeds into tier-specific infusions and spell-dust.</t>
        </is>
      </c>
      <c r="U7" t="inlineStr">
        <is>
          <t>The fiber no longer fights you. You can hold a charge steady long enough to shape it into something a wielder will actually trust.</t>
        </is>
      </c>
      <c r="Y7" t="inlineStr">
        <is>
          <t>https://drive.google.com/uc?export=download&amp;id=1H-H68vYBLXccnjOnVscyZiHF4LvNpLU9</t>
        </is>
      </c>
    </row>
    <row r="8">
      <c r="A8" t="inlineStr">
        <is>
          <t>SK7</t>
        </is>
      </c>
      <c r="B8" t="inlineStr">
        <is>
          <t>item_template</t>
        </is>
      </c>
      <c r="C8" t="inlineStr">
        <is>
          <t>tile</t>
        </is>
      </c>
      <c r="D8" t="inlineStr">
        <is>
          <t>skills</t>
        </is>
      </c>
      <c r="E8" t="inlineStr">
        <is>
          <t>Artisan Attuning</t>
        </is>
      </c>
      <c r="F8" t="inlineStr">
        <is>
          <t>skill</t>
        </is>
      </c>
      <c r="G8" t="inlineStr">
        <is>
          <t>profession</t>
        </is>
      </c>
      <c r="H8" t="inlineStr">
        <is>
          <t>crafting</t>
        </is>
      </c>
      <c r="I8" t="inlineStr">
        <is>
          <t>2</t>
        </is>
      </c>
      <c r="J8">
        <f>IF(G8="","",IFERROR(IF(G8="infusing",IFERROR(LOOKUP(2,1/ISNUMBER(SEARCH(_lookup!$D$3:$D$4,H8)),_lookup!$E$3:$E$4),"INT"),VLOOKUP(G8,_lookup!$A$3:$B$14,2,FALSE)),""))</f>
        <v/>
      </c>
      <c r="K8">
        <f>IF(F8&lt;&gt;"weapon","",IF(G8="miscellaneous","1-4",IF(I8="","",IFERROR(VLOOKUP(I8&amp;"|"&amp;IF(LEFT(H8,2)="2H",2,1)&amp;"|"&amp;IF(G8="slashing",1,0),_lookup!$G$3:$H$18,2,FALSE),""))))</f>
        <v/>
      </c>
      <c r="L8">
        <f>IF(K8="","",IF(OR(G8="channeling",G8="infusing"),"Magical",IF(G8="blocking","Anti-Physical",IF(G8="warding","Anti-Magical","Physical"))))</f>
        <v/>
      </c>
      <c r="O8">
        <f>IF(F8&lt;&gt;"armor","","TBD")</f>
        <v/>
      </c>
      <c r="P8">
        <f>IF(O8="","",IF(OR(G8="channeling",G8="infusing"),"Magical",IF(G8="blocking","Anti-Physical",IF(G8="warding","Anti-Magical","Physical"))))</f>
        <v/>
      </c>
      <c r="S8" t="n">
        <v>288</v>
      </c>
      <c r="T8" t="inlineStr">
        <is>
          <t>Turns fiber and seeds into tier-specific infusions and spell-dust.</t>
        </is>
      </c>
      <c r="U8" t="inlineStr">
        <is>
          <t>You can concentrate magic that would burn out in another's paws, and your infusions keep their edge long after the making.</t>
        </is>
      </c>
      <c r="Y8" t="inlineStr">
        <is>
          <t>https://drive.google.com/uc?export=download&amp;id=1H-H68vYBLXccnjOnVscyZiHF4LvNpLU9</t>
        </is>
      </c>
    </row>
    <row r="9">
      <c r="A9" t="inlineStr">
        <is>
          <t>SK8</t>
        </is>
      </c>
      <c r="B9" t="inlineStr">
        <is>
          <t>item_template</t>
        </is>
      </c>
      <c r="C9" t="inlineStr">
        <is>
          <t>tile</t>
        </is>
      </c>
      <c r="D9" t="inlineStr">
        <is>
          <t>skills</t>
        </is>
      </c>
      <c r="E9" t="inlineStr">
        <is>
          <t>Master Attuning</t>
        </is>
      </c>
      <c r="F9" t="inlineStr">
        <is>
          <t>skill</t>
        </is>
      </c>
      <c r="G9" t="inlineStr">
        <is>
          <t>profession</t>
        </is>
      </c>
      <c r="H9" t="inlineStr">
        <is>
          <t>crafting</t>
        </is>
      </c>
      <c r="I9" t="inlineStr">
        <is>
          <t>3</t>
        </is>
      </c>
      <c r="J9">
        <f>IF(G9="","",IFERROR(IF(G9="infusing",IFERROR(LOOKUP(2,1/ISNUMBER(SEARCH(_lookup!$D$3:$D$4,H9)),_lookup!$E$3:$E$4),"INT"),VLOOKUP(G9,_lookup!$A$3:$B$14,2,FALSE)),""))</f>
        <v/>
      </c>
      <c r="K9">
        <f>IF(F9&lt;&gt;"weapon","",IF(G9="miscellaneous","1-4",IF(I9="","",IFERROR(VLOOKUP(I9&amp;"|"&amp;IF(LEFT(H9,2)="2H",2,1)&amp;"|"&amp;IF(G9="slashing",1,0),_lookup!$G$3:$H$18,2,FALSE),""))))</f>
        <v/>
      </c>
      <c r="L9">
        <f>IF(K9="","",IF(OR(G9="channeling",G9="infusing"),"Magical",IF(G9="blocking","Anti-Physical",IF(G9="warding","Anti-Magical","Physical"))))</f>
        <v/>
      </c>
      <c r="O9">
        <f>IF(F9&lt;&gt;"armor","","TBD")</f>
        <v/>
      </c>
      <c r="P9">
        <f>IF(O9="","",IF(OR(G9="channeling",G9="infusing"),"Magical",IF(G9="blocking","Anti-Physical",IF(G9="warding","Anti-Magical","Physical"))))</f>
        <v/>
      </c>
      <c r="S9" t="n">
        <v>800</v>
      </c>
      <c r="T9" t="inlineStr">
        <is>
          <t>Turns fiber and seeds into tier-specific infusions and spell-dust.</t>
        </is>
      </c>
      <c r="U9" t="inlineStr">
        <is>
          <t>What you bind does not fade. Wielders bring you their oldest infusions to have the light woken back into them.</t>
        </is>
      </c>
      <c r="Y9" t="inlineStr">
        <is>
          <t>https://drive.google.com/uc?export=download&amp;id=1H-H68vYBLXccnjOnVscyZiHF4LvNpLU9</t>
        </is>
      </c>
    </row>
    <row r="10">
      <c r="A10" t="inlineStr">
        <is>
          <t>SK9</t>
        </is>
      </c>
      <c r="B10" t="inlineStr">
        <is>
          <t>item_template</t>
        </is>
      </c>
      <c r="C10" t="inlineStr">
        <is>
          <t>tile</t>
        </is>
      </c>
      <c r="D10" t="inlineStr">
        <is>
          <t>skills</t>
        </is>
      </c>
      <c r="E10" t="inlineStr">
        <is>
          <t>Novice Fishing</t>
        </is>
      </c>
      <c r="F10" t="inlineStr">
        <is>
          <t>skill</t>
        </is>
      </c>
      <c r="G10" t="inlineStr">
        <is>
          <t>profession</t>
        </is>
      </c>
      <c r="H10" t="inlineStr">
        <is>
          <t>gathering</t>
        </is>
      </c>
      <c r="I10" t="inlineStr">
        <is>
          <t>0</t>
        </is>
      </c>
      <c r="J10">
        <f>IF(G10="","",IFERROR(IF(G10="infusing",IFERROR(LOOKUP(2,1/ISNUMBER(SEARCH(_lookup!$D$3:$D$4,H10)),_lookup!$E$3:$E$4),"INT"),VLOOKUP(G10,_lookup!$A$3:$B$14,2,FALSE)),""))</f>
        <v/>
      </c>
      <c r="K10">
        <f>IF(F10&lt;&gt;"weapon","",IF(G10="miscellaneous","1-4",IF(I10="","",IFERROR(VLOOKUP(I10&amp;"|"&amp;IF(LEFT(H10,2)="2H",2,1)&amp;"|"&amp;IF(G10="slashing",1,0),_lookup!$G$3:$H$18,2,FALSE),""))))</f>
        <v/>
      </c>
      <c r="L10">
        <f>IF(K10="","",IF(OR(G10="channeling",G10="infusing"),"Magical",IF(G10="blocking","Anti-Physical",IF(G10="warding","Anti-Magical","Physical"))))</f>
        <v/>
      </c>
      <c r="O10">
        <f>IF(F10&lt;&gt;"armor","","TBD")</f>
        <v/>
      </c>
      <c r="P10">
        <f>IF(O10="","",IF(OR(G10="channeling",G10="infusing"),"Magical",IF(G10="blocking","Anti-Physical",IF(G10="warding","Anti-Magical","Physical"))))</f>
        <v/>
      </c>
      <c r="S10" t="n">
        <v>24</v>
      </c>
      <c r="T10" t="inlineStr">
        <is>
          <t>Gathers fish, wraps, and various fishing treasures.</t>
        </is>
      </c>
      <c r="U10" t="inlineStr">
        <is>
          <t>You can read a bank well enough to find the slow water, and you have learned to wait. Most of what you land is small.</t>
        </is>
      </c>
      <c r="Y10" t="inlineStr">
        <is>
          <t>https://drive.google.com/uc?export=download&amp;id=1PA6tDJuXBgsc4uRiu5k4knGngmYvei5U</t>
        </is>
      </c>
    </row>
    <row r="11">
      <c r="A11" t="inlineStr">
        <is>
          <t>SK10</t>
        </is>
      </c>
      <c r="B11" t="inlineStr">
        <is>
          <t>item_template</t>
        </is>
      </c>
      <c r="C11" t="inlineStr">
        <is>
          <t>tile</t>
        </is>
      </c>
      <c r="D11" t="inlineStr">
        <is>
          <t>skills</t>
        </is>
      </c>
      <c r="E11" t="inlineStr">
        <is>
          <t>Journeyman Fishing</t>
        </is>
      </c>
      <c r="F11" t="inlineStr">
        <is>
          <t>skill</t>
        </is>
      </c>
      <c r="G11" t="inlineStr">
        <is>
          <t>profession</t>
        </is>
      </c>
      <c r="H11" t="inlineStr">
        <is>
          <t>gathering</t>
        </is>
      </c>
      <c r="I11" t="inlineStr">
        <is>
          <t>1</t>
        </is>
      </c>
      <c r="J11">
        <f>IF(G11="","",IFERROR(IF(G11="infusing",IFERROR(LOOKUP(2,1/ISNUMBER(SEARCH(_lookup!$D$3:$D$4,H11)),_lookup!$E$3:$E$4),"INT"),VLOOKUP(G11,_lookup!$A$3:$B$14,2,FALSE)),""))</f>
        <v/>
      </c>
      <c r="K11">
        <f>IF(F11&lt;&gt;"weapon","",IF(G11="miscellaneous","1-4",IF(I11="","",IFERROR(VLOOKUP(I11&amp;"|"&amp;IF(LEFT(H11,2)="2H",2,1)&amp;"|"&amp;IF(G11="slashing",1,0),_lookup!$G$3:$H$18,2,FALSE),""))))</f>
        <v/>
      </c>
      <c r="L11">
        <f>IF(K11="","",IF(OR(G11="channeling",G11="infusing"),"Magical",IF(G11="blocking","Anti-Physical",IF(G11="warding","Anti-Magical","Physical"))))</f>
        <v/>
      </c>
      <c r="O11">
        <f>IF(F11&lt;&gt;"armor","","TBD")</f>
        <v/>
      </c>
      <c r="P11">
        <f>IF(O11="","",IF(OR(G11="channeling",G11="infusing"),"Magical",IF(G11="blocking","Anti-Physical",IF(G11="warding","Anti-Magical","Physical"))))</f>
        <v/>
      </c>
      <c r="S11" t="n">
        <v>72</v>
      </c>
      <c r="T11" t="inlineStr">
        <is>
          <t>Gathers fish, wraps, and various fishing treasures.</t>
        </is>
      </c>
      <c r="U11" t="inlineStr">
        <is>
          <t>You know which pools hold fish at which hour, and the line no longer tangles in the reeds. The basket is rarely empty now.</t>
        </is>
      </c>
      <c r="Y11" t="inlineStr">
        <is>
          <t>https://drive.google.com/uc?export=download&amp;id=1PA6tDJuXBgsc4uRiu5k4knGngmYvei5U</t>
        </is>
      </c>
    </row>
    <row r="12">
      <c r="A12" t="inlineStr">
        <is>
          <t>SK11</t>
        </is>
      </c>
      <c r="B12" t="inlineStr">
        <is>
          <t>item_template</t>
        </is>
      </c>
      <c r="C12" t="inlineStr">
        <is>
          <t>tile</t>
        </is>
      </c>
      <c r="D12" t="inlineStr">
        <is>
          <t>skills</t>
        </is>
      </c>
      <c r="E12" t="inlineStr">
        <is>
          <t>Artisan Fishing</t>
        </is>
      </c>
      <c r="F12" t="inlineStr">
        <is>
          <t>skill</t>
        </is>
      </c>
      <c r="G12" t="inlineStr">
        <is>
          <t>profession</t>
        </is>
      </c>
      <c r="H12" t="inlineStr">
        <is>
          <t>gathering</t>
        </is>
      </c>
      <c r="I12" t="inlineStr">
        <is>
          <t>2</t>
        </is>
      </c>
      <c r="J12">
        <f>IF(G12="","",IFERROR(IF(G12="infusing",IFERROR(LOOKUP(2,1/ISNUMBER(SEARCH(_lookup!$D$3:$D$4,H12)),_lookup!$E$3:$E$4),"INT"),VLOOKUP(G12,_lookup!$A$3:$B$14,2,FALSE)),""))</f>
        <v/>
      </c>
      <c r="K12">
        <f>IF(F12&lt;&gt;"weapon","",IF(G12="miscellaneous","1-4",IF(I12="","",IFERROR(VLOOKUP(I12&amp;"|"&amp;IF(LEFT(H12,2)="2H",2,1)&amp;"|"&amp;IF(G12="slashing",1,0),_lookup!$G$3:$H$18,2,FALSE),""))))</f>
        <v/>
      </c>
      <c r="L12">
        <f>IF(K12="","",IF(OR(G12="channeling",G12="infusing"),"Magical",IF(G12="blocking","Anti-Physical",IF(G12="warding","Anti-Magical","Physical"))))</f>
        <v/>
      </c>
      <c r="O12">
        <f>IF(F12&lt;&gt;"armor","","TBD")</f>
        <v/>
      </c>
      <c r="P12">
        <f>IF(O12="","",IF(OR(G12="channeling",G12="infusing"),"Magical",IF(G12="blocking","Anti-Physical",IF(G12="warding","Anti-Magical","Physical"))))</f>
        <v/>
      </c>
      <c r="S12" t="n">
        <v>288</v>
      </c>
      <c r="T12" t="inlineStr">
        <is>
          <t>Gathers fish, wraps, and various fishing treasures.</t>
        </is>
      </c>
      <c r="U12" t="inlineStr">
        <is>
          <t>You fish the deep channels and the fast water others avoid, and come back with what the rest of the bank only hears about.</t>
        </is>
      </c>
      <c r="Y12" t="inlineStr">
        <is>
          <t>https://drive.google.com/uc?export=download&amp;id=1PA6tDJuXBgsc4uRiu5k4knGngmYvei5U</t>
        </is>
      </c>
    </row>
    <row r="13">
      <c r="A13" t="inlineStr">
        <is>
          <t>SK12</t>
        </is>
      </c>
      <c r="B13" t="inlineStr">
        <is>
          <t>item_template</t>
        </is>
      </c>
      <c r="C13" t="inlineStr">
        <is>
          <t>tile</t>
        </is>
      </c>
      <c r="D13" t="inlineStr">
        <is>
          <t>skills</t>
        </is>
      </c>
      <c r="E13" t="inlineStr">
        <is>
          <t>Master Fishing</t>
        </is>
      </c>
      <c r="F13" t="inlineStr">
        <is>
          <t>skill</t>
        </is>
      </c>
      <c r="G13" t="inlineStr">
        <is>
          <t>profession</t>
        </is>
      </c>
      <c r="H13" t="inlineStr">
        <is>
          <t>gathering</t>
        </is>
      </c>
      <c r="I13" t="inlineStr">
        <is>
          <t>3</t>
        </is>
      </c>
      <c r="J13">
        <f>IF(G13="","",IFERROR(IF(G13="infusing",IFERROR(LOOKUP(2,1/ISNUMBER(SEARCH(_lookup!$D$3:$D$4,H13)),_lookup!$E$3:$E$4),"INT"),VLOOKUP(G13,_lookup!$A$3:$B$14,2,FALSE)),""))</f>
        <v/>
      </c>
      <c r="K13">
        <f>IF(F13&lt;&gt;"weapon","",IF(G13="miscellaneous","1-4",IF(I13="","",IFERROR(VLOOKUP(I13&amp;"|"&amp;IF(LEFT(H13,2)="2H",2,1)&amp;"|"&amp;IF(G13="slashing",1,0),_lookup!$G$3:$H$18,2,FALSE),""))))</f>
        <v/>
      </c>
      <c r="L13">
        <f>IF(K13="","",IF(OR(G13="channeling",G13="infusing"),"Magical",IF(G13="blocking","Anti-Physical",IF(G13="warding","Anti-Magical","Physical"))))</f>
        <v/>
      </c>
      <c r="O13">
        <f>IF(F13&lt;&gt;"armor","","TBD")</f>
        <v/>
      </c>
      <c r="P13">
        <f>IF(O13="","",IF(OR(G13="channeling",G13="infusing"),"Magical",IF(G13="blocking","Anti-Physical",IF(G13="warding","Anti-Magical","Physical"))))</f>
        <v/>
      </c>
      <c r="S13" t="n">
        <v>800</v>
      </c>
      <c r="T13" t="inlineStr">
        <is>
          <t>Gathers fish, wraps, and various fishing treasures.</t>
        </is>
      </c>
      <c r="U13" t="inlineStr">
        <is>
          <t>There is no stretch of water in the Woodland you cannot work. What you pull from the river, the river did not intend to give up.</t>
        </is>
      </c>
      <c r="Y13" t="inlineStr">
        <is>
          <t>https://drive.google.com/uc?export=download&amp;id=1PA6tDJuXBgsc4uRiu5k4knGngmYvei5U</t>
        </is>
      </c>
    </row>
    <row r="14">
      <c r="A14" t="inlineStr">
        <is>
          <t>SK13</t>
        </is>
      </c>
      <c r="B14" t="inlineStr">
        <is>
          <t>item_template</t>
        </is>
      </c>
      <c r="C14" t="inlineStr">
        <is>
          <t>tile</t>
        </is>
      </c>
      <c r="D14" t="inlineStr">
        <is>
          <t>skills</t>
        </is>
      </c>
      <c r="E14" t="inlineStr">
        <is>
          <t>Novice Forestry</t>
        </is>
      </c>
      <c r="F14" t="inlineStr">
        <is>
          <t>skill</t>
        </is>
      </c>
      <c r="G14" t="inlineStr">
        <is>
          <t>profession</t>
        </is>
      </c>
      <c r="H14" t="inlineStr">
        <is>
          <t>gathering</t>
        </is>
      </c>
      <c r="I14" t="inlineStr">
        <is>
          <t>0</t>
        </is>
      </c>
      <c r="J14">
        <f>IF(G14="","",IFERROR(IF(G14="infusing",IFERROR(LOOKUP(2,1/ISNUMBER(SEARCH(_lookup!$D$3:$D$4,H14)),_lookup!$E$3:$E$4),"INT"),VLOOKUP(G14,_lookup!$A$3:$B$14,2,FALSE)),""))</f>
        <v/>
      </c>
      <c r="K14">
        <f>IF(F14&lt;&gt;"weapon","",IF(G14="miscellaneous","1-4",IF(I14="","",IFERROR(VLOOKUP(I14&amp;"|"&amp;IF(LEFT(H14,2)="2H",2,1)&amp;"|"&amp;IF(G14="slashing",1,0),_lookup!$G$3:$H$18,2,FALSE),""))))</f>
        <v/>
      </c>
      <c r="L14">
        <f>IF(K14="","",IF(OR(G14="channeling",G14="infusing"),"Magical",IF(G14="blocking","Anti-Physical",IF(G14="warding","Anti-Magical","Physical"))))</f>
        <v/>
      </c>
      <c r="O14">
        <f>IF(F14&lt;&gt;"armor","","TBD")</f>
        <v/>
      </c>
      <c r="P14">
        <f>IF(O14="","",IF(OR(G14="channeling",G14="infusing"),"Magical",IF(G14="blocking","Anti-Physical",IF(G14="warding","Anti-Magical","Physical"))))</f>
        <v/>
      </c>
      <c r="S14" t="n">
        <v>24</v>
      </c>
      <c r="T14" t="inlineStr">
        <is>
          <t>Gathers wood, sap, mushrooms, and honey.</t>
        </is>
      </c>
      <c r="U14" t="inlineStr">
        <is>
          <t>You can fell a small tree without dropping it on yourself, and you know sap from rot. Mostly.</t>
        </is>
      </c>
      <c r="Y14" t="inlineStr">
        <is>
          <t>https://drive.google.com/uc?export=download&amp;id=1kKquIxuRDJXIwGWUeiTZBVRnUL2sjrA5</t>
        </is>
      </c>
    </row>
    <row r="15">
      <c r="A15" t="inlineStr">
        <is>
          <t>SK14</t>
        </is>
      </c>
      <c r="B15" t="inlineStr">
        <is>
          <t>item_template</t>
        </is>
      </c>
      <c r="C15" t="inlineStr">
        <is>
          <t>tile</t>
        </is>
      </c>
      <c r="D15" t="inlineStr">
        <is>
          <t>skills</t>
        </is>
      </c>
      <c r="E15" t="inlineStr">
        <is>
          <t>Journeyman Forestry</t>
        </is>
      </c>
      <c r="F15" t="inlineStr">
        <is>
          <t>skill</t>
        </is>
      </c>
      <c r="G15" t="inlineStr">
        <is>
          <t>profession</t>
        </is>
      </c>
      <c r="H15" t="inlineStr">
        <is>
          <t>gathering</t>
        </is>
      </c>
      <c r="I15" t="inlineStr">
        <is>
          <t>1</t>
        </is>
      </c>
      <c r="J15">
        <f>IF(G15="","",IFERROR(IF(G15="infusing",IFERROR(LOOKUP(2,1/ISNUMBER(SEARCH(_lookup!$D$3:$D$4,H15)),_lookup!$E$3:$E$4),"INT"),VLOOKUP(G15,_lookup!$A$3:$B$14,2,FALSE)),""))</f>
        <v/>
      </c>
      <c r="K15">
        <f>IF(F15&lt;&gt;"weapon","",IF(G15="miscellaneous","1-4",IF(I15="","",IFERROR(VLOOKUP(I15&amp;"|"&amp;IF(LEFT(H15,2)="2H",2,1)&amp;"|"&amp;IF(G15="slashing",1,0),_lookup!$G$3:$H$18,2,FALSE),""))))</f>
        <v/>
      </c>
      <c r="L15">
        <f>IF(K15="","",IF(OR(G15="channeling",G15="infusing"),"Magical",IF(G15="blocking","Anti-Physical",IF(G15="warding","Anti-Magical","Physical"))))</f>
        <v/>
      </c>
      <c r="O15">
        <f>IF(F15&lt;&gt;"armor","","TBD")</f>
        <v/>
      </c>
      <c r="P15">
        <f>IF(O15="","",IF(OR(G15="channeling",G15="infusing"),"Magical",IF(G15="blocking","Anti-Physical",IF(G15="warding","Anti-Magical","Physical"))))</f>
        <v/>
      </c>
      <c r="S15" t="n">
        <v>72</v>
      </c>
      <c r="T15" t="inlineStr">
        <is>
          <t>Gathers wood, sap, mushrooms, and honey.</t>
        </is>
      </c>
      <c r="U15" t="inlineStr">
        <is>
          <t>You read the grain before the first cut, and you have learned which hollows hold honey and which hold something worse.</t>
        </is>
      </c>
      <c r="Y15" t="inlineStr">
        <is>
          <t>https://drive.google.com/uc?export=download&amp;id=1kKquIxuRDJXIwGWUeiTZBVRnUL2sjrA5</t>
        </is>
      </c>
    </row>
    <row r="16">
      <c r="A16" t="inlineStr">
        <is>
          <t>SK15</t>
        </is>
      </c>
      <c r="B16" t="inlineStr">
        <is>
          <t>item_template</t>
        </is>
      </c>
      <c r="C16" t="inlineStr">
        <is>
          <t>tile</t>
        </is>
      </c>
      <c r="D16" t="inlineStr">
        <is>
          <t>skills</t>
        </is>
      </c>
      <c r="E16" t="inlineStr">
        <is>
          <t>Artisan Forestry</t>
        </is>
      </c>
      <c r="F16" t="inlineStr">
        <is>
          <t>skill</t>
        </is>
      </c>
      <c r="G16" t="inlineStr">
        <is>
          <t>profession</t>
        </is>
      </c>
      <c r="H16" t="inlineStr">
        <is>
          <t>gathering</t>
        </is>
      </c>
      <c r="I16" t="inlineStr">
        <is>
          <t>2</t>
        </is>
      </c>
      <c r="J16">
        <f>IF(G16="","",IFERROR(IF(G16="infusing",IFERROR(LOOKUP(2,1/ISNUMBER(SEARCH(_lookup!$D$3:$D$4,H16)),_lookup!$E$3:$E$4),"INT"),VLOOKUP(G16,_lookup!$A$3:$B$14,2,FALSE)),""))</f>
        <v/>
      </c>
      <c r="K16">
        <f>IF(F16&lt;&gt;"weapon","",IF(G16="miscellaneous","1-4",IF(I16="","",IFERROR(VLOOKUP(I16&amp;"|"&amp;IF(LEFT(H16,2)="2H",2,1)&amp;"|"&amp;IF(G16="slashing",1,0),_lookup!$G$3:$H$18,2,FALSE),""))))</f>
        <v/>
      </c>
      <c r="L16">
        <f>IF(K16="","",IF(OR(G16="channeling",G16="infusing"),"Magical",IF(G16="blocking","Anti-Physical",IF(G16="warding","Anti-Magical","Physical"))))</f>
        <v/>
      </c>
      <c r="O16">
        <f>IF(F16&lt;&gt;"armor","","TBD")</f>
        <v/>
      </c>
      <c r="P16">
        <f>IF(O16="","",IF(OR(G16="channeling",G16="infusing"),"Magical",IF(G16="blocking","Anti-Physical",IF(G16="warding","Anti-Magical","Physical"))))</f>
        <v/>
      </c>
      <c r="S16" t="n">
        <v>288</v>
      </c>
      <c r="T16" t="inlineStr">
        <is>
          <t>Gathers wood, sap, mushrooms, and honey.</t>
        </is>
      </c>
      <c r="U16" t="inlineStr">
        <is>
          <t>The wood you bring back is sound through, cut at the right season and seasoned properly. Bowyers pay a premium.</t>
        </is>
      </c>
      <c r="Y16" t="inlineStr">
        <is>
          <t>https://drive.google.com/uc?export=download&amp;id=1kKquIxuRDJXIwGWUeiTZBVRnUL2sjrA5</t>
        </is>
      </c>
    </row>
    <row r="17">
      <c r="A17" t="inlineStr">
        <is>
          <t>SK16</t>
        </is>
      </c>
      <c r="B17" t="inlineStr">
        <is>
          <t>item_template</t>
        </is>
      </c>
      <c r="C17" t="inlineStr">
        <is>
          <t>tile</t>
        </is>
      </c>
      <c r="D17" t="inlineStr">
        <is>
          <t>skills</t>
        </is>
      </c>
      <c r="E17" t="inlineStr">
        <is>
          <t>Master Forestry</t>
        </is>
      </c>
      <c r="F17" t="inlineStr">
        <is>
          <t>skill</t>
        </is>
      </c>
      <c r="G17" t="inlineStr">
        <is>
          <t>profession</t>
        </is>
      </c>
      <c r="H17" t="inlineStr">
        <is>
          <t>gathering</t>
        </is>
      </c>
      <c r="I17" t="inlineStr">
        <is>
          <t>3</t>
        </is>
      </c>
      <c r="J17">
        <f>IF(G17="","",IFERROR(IF(G17="infusing",IFERROR(LOOKUP(2,1/ISNUMBER(SEARCH(_lookup!$D$3:$D$4,H17)),_lookup!$E$3:$E$4),"INT"),VLOOKUP(G17,_lookup!$A$3:$B$14,2,FALSE)),""))</f>
        <v/>
      </c>
      <c r="K17">
        <f>IF(F17&lt;&gt;"weapon","",IF(G17="miscellaneous","1-4",IF(I17="","",IFERROR(VLOOKUP(I17&amp;"|"&amp;IF(LEFT(H17,2)="2H",2,1)&amp;"|"&amp;IF(G17="slashing",1,0),_lookup!$G$3:$H$18,2,FALSE),""))))</f>
        <v/>
      </c>
      <c r="L17">
        <f>IF(K17="","",IF(OR(G17="channeling",G17="infusing"),"Magical",IF(G17="blocking","Anti-Physical",IF(G17="warding","Anti-Magical","Physical"))))</f>
        <v/>
      </c>
      <c r="O17">
        <f>IF(F17&lt;&gt;"armor","","TBD")</f>
        <v/>
      </c>
      <c r="P17">
        <f>IF(O17="","",IF(OR(G17="channeling",G17="infusing"),"Magical",IF(G17="blocking","Anti-Physical",IF(G17="warding","Anti-Magical","Physical"))))</f>
        <v/>
      </c>
      <c r="S17" t="n">
        <v>800</v>
      </c>
      <c r="T17" t="inlineStr">
        <is>
          <t>Gathers wood, sap, mushrooms, and honey.</t>
        </is>
      </c>
      <c r="U17" t="inlineStr">
        <is>
          <t>You know every stand in the Woodland by its timber. The old trees are spared, and the ones you take yield more than they should.</t>
        </is>
      </c>
      <c r="Y17" t="inlineStr">
        <is>
          <t>https://drive.google.com/uc?export=download&amp;id=1kKquIxuRDJXIwGWUeiTZBVRnUL2sjrA5</t>
        </is>
      </c>
    </row>
    <row r="18">
      <c r="A18" t="inlineStr">
        <is>
          <t>SK17</t>
        </is>
      </c>
      <c r="B18" t="inlineStr">
        <is>
          <t>item_template</t>
        </is>
      </c>
      <c r="C18" t="inlineStr">
        <is>
          <t>tile</t>
        </is>
      </c>
      <c r="D18" t="inlineStr">
        <is>
          <t>skills</t>
        </is>
      </c>
      <c r="E18" t="inlineStr">
        <is>
          <t>Novice Herbalism</t>
        </is>
      </c>
      <c r="F18" t="inlineStr">
        <is>
          <t>skill</t>
        </is>
      </c>
      <c r="G18" t="inlineStr">
        <is>
          <t>profession</t>
        </is>
      </c>
      <c r="H18" t="inlineStr">
        <is>
          <t>gathering</t>
        </is>
      </c>
      <c r="I18" t="inlineStr">
        <is>
          <t>0</t>
        </is>
      </c>
      <c r="J18">
        <f>IF(G18="","",IFERROR(IF(G18="infusing",IFERROR(LOOKUP(2,1/ISNUMBER(SEARCH(_lookup!$D$3:$D$4,H18)),_lookup!$E$3:$E$4),"INT"),VLOOKUP(G18,_lookup!$A$3:$B$14,2,FALSE)),""))</f>
        <v/>
      </c>
      <c r="K18">
        <f>IF(F18&lt;&gt;"weapon","",IF(G18="miscellaneous","1-4",IF(I18="","",IFERROR(VLOOKUP(I18&amp;"|"&amp;IF(LEFT(H18,2)="2H",2,1)&amp;"|"&amp;IF(G18="slashing",1,0),_lookup!$G$3:$H$18,2,FALSE),""))))</f>
        <v/>
      </c>
      <c r="L18">
        <f>IF(K18="","",IF(OR(G18="channeling",G18="infusing"),"Magical",IF(G18="blocking","Anti-Physical",IF(G18="warding","Anti-Magical","Physical"))))</f>
        <v/>
      </c>
      <c r="O18">
        <f>IF(F18&lt;&gt;"armor","","TBD")</f>
        <v/>
      </c>
      <c r="P18">
        <f>IF(O18="","",IF(OR(G18="channeling",G18="infusing"),"Magical",IF(G18="blocking","Anti-Physical",IF(G18="warding","Anti-Magical","Physical"))))</f>
        <v/>
      </c>
      <c r="S18" t="n">
        <v>24</v>
      </c>
      <c r="T18" t="inlineStr">
        <is>
          <t>Gathers fibers, seeds, and herbs.</t>
        </is>
      </c>
      <c r="U18" t="inlineStr">
        <is>
          <t>You can tell a useful leaf from a pretty one, most days. The basket comes back fuller than it went out.</t>
        </is>
      </c>
      <c r="Y18" t="inlineStr">
        <is>
          <t>https://drive.google.com/uc?export=download&amp;id=1tdrnzLQX-N0SnCPzfSL6uBZp5K9lQrhG</t>
        </is>
      </c>
    </row>
    <row r="19">
      <c r="A19" t="inlineStr">
        <is>
          <t>SK18</t>
        </is>
      </c>
      <c r="B19" t="inlineStr">
        <is>
          <t>item_template</t>
        </is>
      </c>
      <c r="C19" t="inlineStr">
        <is>
          <t>tile</t>
        </is>
      </c>
      <c r="D19" t="inlineStr">
        <is>
          <t>skills</t>
        </is>
      </c>
      <c r="E19" t="inlineStr">
        <is>
          <t>Journeyman Herbalism</t>
        </is>
      </c>
      <c r="F19" t="inlineStr">
        <is>
          <t>skill</t>
        </is>
      </c>
      <c r="G19" t="inlineStr">
        <is>
          <t>profession</t>
        </is>
      </c>
      <c r="H19" t="inlineStr">
        <is>
          <t>gathering</t>
        </is>
      </c>
      <c r="I19" t="inlineStr">
        <is>
          <t>1</t>
        </is>
      </c>
      <c r="J19">
        <f>IF(G19="","",IFERROR(IF(G19="infusing",IFERROR(LOOKUP(2,1/ISNUMBER(SEARCH(_lookup!$D$3:$D$4,H19)),_lookup!$E$3:$E$4),"INT"),VLOOKUP(G19,_lookup!$A$3:$B$14,2,FALSE)),""))</f>
        <v/>
      </c>
      <c r="K19">
        <f>IF(F19&lt;&gt;"weapon","",IF(G19="miscellaneous","1-4",IF(I19="","",IFERROR(VLOOKUP(I19&amp;"|"&amp;IF(LEFT(H19,2)="2H",2,1)&amp;"|"&amp;IF(G19="slashing",1,0),_lookup!$G$3:$H$18,2,FALSE),""))))</f>
        <v/>
      </c>
      <c r="L19">
        <f>IF(K19="","",IF(OR(G19="channeling",G19="infusing"),"Magical",IF(G19="blocking","Anti-Physical",IF(G19="warding","Anti-Magical","Physical"))))</f>
        <v/>
      </c>
      <c r="O19">
        <f>IF(F19&lt;&gt;"armor","","TBD")</f>
        <v/>
      </c>
      <c r="P19">
        <f>IF(O19="","",IF(OR(G19="channeling",G19="infusing"),"Magical",IF(G19="blocking","Anti-Physical",IF(G19="warding","Anti-Magical","Physical"))))</f>
        <v/>
      </c>
      <c r="S19" t="n">
        <v>72</v>
      </c>
      <c r="T19" t="inlineStr">
        <is>
          <t>Gathers fibers, seeds, and herbs.</t>
        </is>
      </c>
      <c r="U19" t="inlineStr">
        <is>
          <t>You know which banks hold which herbs, and when to cut so the plant comes back. Your magical fibers keep their charge all the way to camp.</t>
        </is>
      </c>
      <c r="Y19" t="inlineStr">
        <is>
          <t>https://drive.google.com/uc?export=download&amp;id=1tdrnzLQX-N0SnCPzfSL6uBZp5K9lQrhG</t>
        </is>
      </c>
    </row>
    <row r="20">
      <c r="A20" t="inlineStr">
        <is>
          <t>SK19</t>
        </is>
      </c>
      <c r="B20" t="inlineStr">
        <is>
          <t>item_template</t>
        </is>
      </c>
      <c r="C20" t="inlineStr">
        <is>
          <t>tile</t>
        </is>
      </c>
      <c r="D20" t="inlineStr">
        <is>
          <t>skills</t>
        </is>
      </c>
      <c r="E20" t="inlineStr">
        <is>
          <t>Artisan Herbalism</t>
        </is>
      </c>
      <c r="F20" t="inlineStr">
        <is>
          <t>skill</t>
        </is>
      </c>
      <c r="G20" t="inlineStr">
        <is>
          <t>profession</t>
        </is>
      </c>
      <c r="H20" t="inlineStr">
        <is>
          <t>gathering</t>
        </is>
      </c>
      <c r="I20" t="inlineStr">
        <is>
          <t>2</t>
        </is>
      </c>
      <c r="J20">
        <f>IF(G20="","",IFERROR(IF(G20="infusing",IFERROR(LOOKUP(2,1/ISNUMBER(SEARCH(_lookup!$D$3:$D$4,H20)),_lookup!$E$3:$E$4),"INT"),VLOOKUP(G20,_lookup!$A$3:$B$14,2,FALSE)),""))</f>
        <v/>
      </c>
      <c r="K20">
        <f>IF(F20&lt;&gt;"weapon","",IF(G20="miscellaneous","1-4",IF(I20="","",IFERROR(VLOOKUP(I20&amp;"|"&amp;IF(LEFT(H20,2)="2H",2,1)&amp;"|"&amp;IF(G20="slashing",1,0),_lookup!$G$3:$H$18,2,FALSE),""))))</f>
        <v/>
      </c>
      <c r="L20">
        <f>IF(K20="","",IF(OR(G20="channeling",G20="infusing"),"Magical",IF(G20="blocking","Anti-Physical",IF(G20="warding","Anti-Magical","Physical"))))</f>
        <v/>
      </c>
      <c r="O20">
        <f>IF(F20&lt;&gt;"armor","","TBD")</f>
        <v/>
      </c>
      <c r="P20">
        <f>IF(O20="","",IF(OR(G20="channeling",G20="infusing"),"Magical",IF(G20="blocking","Anti-Physical",IF(G20="warding","Anti-Magical","Physical"))))</f>
        <v/>
      </c>
      <c r="S20" t="n">
        <v>288</v>
      </c>
      <c r="T20" t="inlineStr">
        <is>
          <t>Gathers fibers, seeds, and herbs.</t>
        </is>
      </c>
      <c r="U20" t="inlineStr">
        <is>
          <t>You find the rare growth others walk past, and nothing in your basket is bruised or spent by the time it reaches a bench.</t>
        </is>
      </c>
      <c r="Y20" t="inlineStr">
        <is>
          <t>https://drive.google.com/uc?export=download&amp;id=1tdrnzLQX-N0SnCPzfSL6uBZp5K9lQrhG</t>
        </is>
      </c>
    </row>
    <row r="21">
      <c r="A21" t="inlineStr">
        <is>
          <t>SK20</t>
        </is>
      </c>
      <c r="B21" t="inlineStr">
        <is>
          <t>item_template</t>
        </is>
      </c>
      <c r="C21" t="inlineStr">
        <is>
          <t>tile</t>
        </is>
      </c>
      <c r="D21" t="inlineStr">
        <is>
          <t>skills</t>
        </is>
      </c>
      <c r="E21" t="inlineStr">
        <is>
          <t>Master Herbalism</t>
        </is>
      </c>
      <c r="F21" t="inlineStr">
        <is>
          <t>skill</t>
        </is>
      </c>
      <c r="G21" t="inlineStr">
        <is>
          <t>profession</t>
        </is>
      </c>
      <c r="H21" t="inlineStr">
        <is>
          <t>gathering</t>
        </is>
      </c>
      <c r="I21" t="inlineStr">
        <is>
          <t>3</t>
        </is>
      </c>
      <c r="J21">
        <f>IF(G21="","",IFERROR(IF(G21="infusing",IFERROR(LOOKUP(2,1/ISNUMBER(SEARCH(_lookup!$D$3:$D$4,H21)),_lookup!$E$3:$E$4),"INT"),VLOOKUP(G21,_lookup!$A$3:$B$14,2,FALSE)),""))</f>
        <v/>
      </c>
      <c r="K21">
        <f>IF(F21&lt;&gt;"weapon","",IF(G21="miscellaneous","1-4",IF(I21="","",IFERROR(VLOOKUP(I21&amp;"|"&amp;IF(LEFT(H21,2)="2H",2,1)&amp;"|"&amp;IF(G21="slashing",1,0),_lookup!$G$3:$H$18,2,FALSE),""))))</f>
        <v/>
      </c>
      <c r="L21">
        <f>IF(K21="","",IF(OR(G21="channeling",G21="infusing"),"Magical",IF(G21="blocking","Anti-Physical",IF(G21="warding","Anti-Magical","Physical"))))</f>
        <v/>
      </c>
      <c r="O21">
        <f>IF(F21&lt;&gt;"armor","","TBD")</f>
        <v/>
      </c>
      <c r="P21">
        <f>IF(O21="","",IF(OR(G21="channeling",G21="infusing"),"Magical",IF(G21="blocking","Anti-Physical",IF(G21="warding","Anti-Magical","Physical"))))</f>
        <v/>
      </c>
      <c r="S21" t="n">
        <v>800</v>
      </c>
      <c r="T21" t="inlineStr">
        <is>
          <t>Gathers fibers, seeds, and herbs.</t>
        </is>
      </c>
      <c r="U21" t="inlineStr">
        <is>
          <t>The Woodland hides very little from you. You gather things most foragers believe are stories.</t>
        </is>
      </c>
      <c r="Y21" t="inlineStr">
        <is>
          <t>https://drive.google.com/uc?export=download&amp;id=1tdrnzLQX-N0SnCPzfSL6uBZp5K9lQrhG</t>
        </is>
      </c>
    </row>
    <row r="22">
      <c r="A22" t="inlineStr">
        <is>
          <t>SK21</t>
        </is>
      </c>
      <c r="B22" t="inlineStr">
        <is>
          <t>item_template</t>
        </is>
      </c>
      <c r="C22" t="inlineStr">
        <is>
          <t>tile</t>
        </is>
      </c>
      <c r="D22" t="inlineStr">
        <is>
          <t>skills</t>
        </is>
      </c>
      <c r="E22" t="inlineStr">
        <is>
          <t>Novice Hunting</t>
        </is>
      </c>
      <c r="F22" t="inlineStr">
        <is>
          <t>skill</t>
        </is>
      </c>
      <c r="G22" t="inlineStr">
        <is>
          <t>profession</t>
        </is>
      </c>
      <c r="H22" t="inlineStr">
        <is>
          <t>gathering</t>
        </is>
      </c>
      <c r="I22" t="inlineStr">
        <is>
          <t>0</t>
        </is>
      </c>
      <c r="J22">
        <f>IF(G22="","",IFERROR(IF(G22="infusing",IFERROR(LOOKUP(2,1/ISNUMBER(SEARCH(_lookup!$D$3:$D$4,H22)),_lookup!$E$3:$E$4),"INT"),VLOOKUP(G22,_lookup!$A$3:$B$14,2,FALSE)),""))</f>
        <v/>
      </c>
      <c r="K22">
        <f>IF(F22&lt;&gt;"weapon","",IF(G22="miscellaneous","1-4",IF(I22="","",IFERROR(VLOOKUP(I22&amp;"|"&amp;IF(LEFT(H22,2)="2H",2,1)&amp;"|"&amp;IF(G22="slashing",1,0),_lookup!$G$3:$H$18,2,FALSE),""))))</f>
        <v/>
      </c>
      <c r="L22">
        <f>IF(K22="","",IF(OR(G22="channeling",G22="infusing"),"Magical",IF(G22="blocking","Anti-Physical",IF(G22="warding","Anti-Magical","Physical"))))</f>
        <v/>
      </c>
      <c r="O22">
        <f>IF(F22&lt;&gt;"armor","","TBD")</f>
        <v/>
      </c>
      <c r="P22">
        <f>IF(O22="","",IF(OR(G22="channeling",G22="infusing"),"Magical",IF(G22="blocking","Anti-Physical",IF(G22="warding","Anti-Magical","Physical"))))</f>
        <v/>
      </c>
      <c r="S22" t="n">
        <v>24</v>
      </c>
      <c r="T22" t="inlineStr">
        <is>
          <t>Gathers leathers, hides, chitin, and meat.</t>
        </is>
      </c>
      <c r="U22" t="inlineStr">
        <is>
          <t>You can set a snare that holds and dress what it catches without ruining the hide. Both take longer than you would like.</t>
        </is>
      </c>
      <c r="Y22" t="inlineStr">
        <is>
          <t>https://drive.google.com/uc?export=download&amp;id=14GGhW0cFY360xqZxc9mgkkMv3ZIPcDZ5</t>
        </is>
      </c>
    </row>
    <row r="23">
      <c r="A23" t="inlineStr">
        <is>
          <t>SK22</t>
        </is>
      </c>
      <c r="B23" t="inlineStr">
        <is>
          <t>item_template</t>
        </is>
      </c>
      <c r="C23" t="inlineStr">
        <is>
          <t>tile</t>
        </is>
      </c>
      <c r="D23" t="inlineStr">
        <is>
          <t>skills</t>
        </is>
      </c>
      <c r="E23" t="inlineStr">
        <is>
          <t>Journeyman Hunting</t>
        </is>
      </c>
      <c r="F23" t="inlineStr">
        <is>
          <t>skill</t>
        </is>
      </c>
      <c r="G23" t="inlineStr">
        <is>
          <t>profession</t>
        </is>
      </c>
      <c r="H23" t="inlineStr">
        <is>
          <t>gathering</t>
        </is>
      </c>
      <c r="I23" t="inlineStr">
        <is>
          <t>1</t>
        </is>
      </c>
      <c r="J23">
        <f>IF(G23="","",IFERROR(IF(G23="infusing",IFERROR(LOOKUP(2,1/ISNUMBER(SEARCH(_lookup!$D$3:$D$4,H23)),_lookup!$E$3:$E$4),"INT"),VLOOKUP(G23,_lookup!$A$3:$B$14,2,FALSE)),""))</f>
        <v/>
      </c>
      <c r="K23">
        <f>IF(F23&lt;&gt;"weapon","",IF(G23="miscellaneous","1-4",IF(I23="","",IFERROR(VLOOKUP(I23&amp;"|"&amp;IF(LEFT(H23,2)="2H",2,1)&amp;"|"&amp;IF(G23="slashing",1,0),_lookup!$G$3:$H$18,2,FALSE),""))))</f>
        <v/>
      </c>
      <c r="L23">
        <f>IF(K23="","",IF(OR(G23="channeling",G23="infusing"),"Magical",IF(G23="blocking","Anti-Physical",IF(G23="warding","Anti-Magical","Physical"))))</f>
        <v/>
      </c>
      <c r="O23">
        <f>IF(F23&lt;&gt;"armor","","TBD")</f>
        <v/>
      </c>
      <c r="P23">
        <f>IF(O23="","",IF(OR(G23="channeling",G23="infusing"),"Magical",IF(G23="blocking","Anti-Physical",IF(G23="warding","Anti-Magical","Physical"))))</f>
        <v/>
      </c>
      <c r="S23" t="n">
        <v>72</v>
      </c>
      <c r="T23" t="inlineStr">
        <is>
          <t>Gathers leathers, hides, chitin, and meat.</t>
        </is>
      </c>
      <c r="U23" t="inlineStr">
        <is>
          <t>You read a trail for age and direction, and your hides come off clean enough to work without patching.</t>
        </is>
      </c>
      <c r="Y23" t="inlineStr">
        <is>
          <t>https://drive.google.com/uc?export=download&amp;id=14GGhW0cFY360xqZxc9mgkkMv3ZIPcDZ5</t>
        </is>
      </c>
    </row>
    <row r="24">
      <c r="A24" t="inlineStr">
        <is>
          <t>SK23</t>
        </is>
      </c>
      <c r="B24" t="inlineStr">
        <is>
          <t>item_template</t>
        </is>
      </c>
      <c r="C24" t="inlineStr">
        <is>
          <t>tile</t>
        </is>
      </c>
      <c r="D24" t="inlineStr">
        <is>
          <t>skills</t>
        </is>
      </c>
      <c r="E24" t="inlineStr">
        <is>
          <t>Artisan Hunting</t>
        </is>
      </c>
      <c r="F24" t="inlineStr">
        <is>
          <t>skill</t>
        </is>
      </c>
      <c r="G24" t="inlineStr">
        <is>
          <t>profession</t>
        </is>
      </c>
      <c r="H24" t="inlineStr">
        <is>
          <t>gathering</t>
        </is>
      </c>
      <c r="I24" t="inlineStr">
        <is>
          <t>2</t>
        </is>
      </c>
      <c r="J24">
        <f>IF(G24="","",IFERROR(IF(G24="infusing",IFERROR(LOOKUP(2,1/ISNUMBER(SEARCH(_lookup!$D$3:$D$4,H24)),_lookup!$E$3:$E$4),"INT"),VLOOKUP(G24,_lookup!$A$3:$B$14,2,FALSE)),""))</f>
        <v/>
      </c>
      <c r="K24">
        <f>IF(F24&lt;&gt;"weapon","",IF(G24="miscellaneous","1-4",IF(I24="","",IFERROR(VLOOKUP(I24&amp;"|"&amp;IF(LEFT(H24,2)="2H",2,1)&amp;"|"&amp;IF(G24="slashing",1,0),_lookup!$G$3:$H$18,2,FALSE),""))))</f>
        <v/>
      </c>
      <c r="L24">
        <f>IF(K24="","",IF(OR(G24="channeling",G24="infusing"),"Magical",IF(G24="blocking","Anti-Physical",IF(G24="warding","Anti-Magical","Physical"))))</f>
        <v/>
      </c>
      <c r="O24">
        <f>IF(F24&lt;&gt;"armor","","TBD")</f>
        <v/>
      </c>
      <c r="P24">
        <f>IF(O24="","",IF(OR(G24="channeling",G24="infusing"),"Magical",IF(G24="blocking","Anti-Physical",IF(G24="warding","Anti-Magical","Physical"))))</f>
        <v/>
      </c>
      <c r="S24" t="n">
        <v>288</v>
      </c>
      <c r="T24" t="inlineStr">
        <is>
          <t>Gathers leathers, hides, chitin, and meat.</t>
        </is>
      </c>
      <c r="U24" t="inlineStr">
        <is>
          <t>You take what you mean to take, and the chitin and leather you bring back needs no sorting before it reaches a bench.</t>
        </is>
      </c>
      <c r="Y24" t="inlineStr">
        <is>
          <t>https://drive.google.com/uc?export=download&amp;id=14GGhW0cFY360xqZxc9mgkkMv3ZIPcDZ5</t>
        </is>
      </c>
    </row>
    <row r="25">
      <c r="A25" t="inlineStr">
        <is>
          <t>SK24</t>
        </is>
      </c>
      <c r="B25" t="inlineStr">
        <is>
          <t>item_template</t>
        </is>
      </c>
      <c r="C25" t="inlineStr">
        <is>
          <t>tile</t>
        </is>
      </c>
      <c r="D25" t="inlineStr">
        <is>
          <t>skills</t>
        </is>
      </c>
      <c r="E25" t="inlineStr">
        <is>
          <t>Master Hunting</t>
        </is>
      </c>
      <c r="F25" t="inlineStr">
        <is>
          <t>skill</t>
        </is>
      </c>
      <c r="G25" t="inlineStr">
        <is>
          <t>profession</t>
        </is>
      </c>
      <c r="H25" t="inlineStr">
        <is>
          <t>gathering</t>
        </is>
      </c>
      <c r="I25" t="inlineStr">
        <is>
          <t>3</t>
        </is>
      </c>
      <c r="J25">
        <f>IF(G25="","",IFERROR(IF(G25="infusing",IFERROR(LOOKUP(2,1/ISNUMBER(SEARCH(_lookup!$D$3:$D$4,H25)),_lookup!$E$3:$E$4),"INT"),VLOOKUP(G25,_lookup!$A$3:$B$14,2,FALSE)),""))</f>
        <v/>
      </c>
      <c r="K25">
        <f>IF(F25&lt;&gt;"weapon","",IF(G25="miscellaneous","1-4",IF(I25="","",IFERROR(VLOOKUP(I25&amp;"|"&amp;IF(LEFT(H25,2)="2H",2,1)&amp;"|"&amp;IF(G25="slashing",1,0),_lookup!$G$3:$H$18,2,FALSE),""))))</f>
        <v/>
      </c>
      <c r="L25">
        <f>IF(K25="","",IF(OR(G25="channeling",G25="infusing"),"Magical",IF(G25="blocking","Anti-Physical",IF(G25="warding","Anti-Magical","Physical"))))</f>
        <v/>
      </c>
      <c r="O25">
        <f>IF(F25&lt;&gt;"armor","","TBD")</f>
        <v/>
      </c>
      <c r="P25">
        <f>IF(O25="","",IF(OR(G25="channeling",G25="infusing"),"Magical",IF(G25="blocking","Anti-Physical",IF(G25="warding","Anti-Magical","Physical"))))</f>
        <v/>
      </c>
      <c r="S25" t="n">
        <v>800</v>
      </c>
      <c r="T25" t="inlineStr">
        <is>
          <t>Gathers leathers, hides, chitin, and meat.</t>
        </is>
      </c>
      <c r="U25" t="inlineStr">
        <is>
          <t>Nothing in the Woodland moves through your range unnoticed. What you bring home is whole, clean and exactly what was wanted.</t>
        </is>
      </c>
      <c r="Y25" t="inlineStr">
        <is>
          <t>https://drive.google.com/uc?export=download&amp;id=14GGhW0cFY360xqZxc9mgkkMv3ZIPcDZ5</t>
        </is>
      </c>
    </row>
    <row r="26">
      <c r="A26" t="inlineStr">
        <is>
          <t>SK25</t>
        </is>
      </c>
      <c r="B26" t="inlineStr">
        <is>
          <t>item_template</t>
        </is>
      </c>
      <c r="C26" t="inlineStr">
        <is>
          <t>tile</t>
        </is>
      </c>
      <c r="D26" t="inlineStr">
        <is>
          <t>skills</t>
        </is>
      </c>
      <c r="E26" t="inlineStr">
        <is>
          <t>Novice Leatherworking</t>
        </is>
      </c>
      <c r="F26" t="inlineStr">
        <is>
          <t>skill</t>
        </is>
      </c>
      <c r="G26" t="inlineStr">
        <is>
          <t>profession</t>
        </is>
      </c>
      <c r="H26" t="inlineStr">
        <is>
          <t>crafting</t>
        </is>
      </c>
      <c r="I26" t="inlineStr">
        <is>
          <t>0</t>
        </is>
      </c>
      <c r="J26">
        <f>IF(G26="","",IFERROR(IF(G26="infusing",IFERROR(LOOKUP(2,1/ISNUMBER(SEARCH(_lookup!$D$3:$D$4,H26)),_lookup!$E$3:$E$4),"INT"),VLOOKUP(G26,_lookup!$A$3:$B$14,2,FALSE)),""))</f>
        <v/>
      </c>
      <c r="K26">
        <f>IF(F26&lt;&gt;"weapon","",IF(G26="miscellaneous","1-4",IF(I26="","",IFERROR(VLOOKUP(I26&amp;"|"&amp;IF(LEFT(H26,2)="2H",2,1)&amp;"|"&amp;IF(G26="slashing",1,0),_lookup!$G$3:$H$18,2,FALSE),""))))</f>
        <v/>
      </c>
      <c r="L26">
        <f>IF(K26="","",IF(OR(G26="channeling",G26="infusing"),"Magical",IF(G26="blocking","Anti-Physical",IF(G26="warding","Anti-Magical","Physical"))))</f>
        <v/>
      </c>
      <c r="O26">
        <f>IF(F26&lt;&gt;"armor","","TBD")</f>
        <v/>
      </c>
      <c r="P26">
        <f>IF(O26="","",IF(OR(G26="channeling",G26="infusing"),"Magical",IF(G26="blocking","Anti-Physical",IF(G26="warding","Anti-Magical","Physical"))))</f>
        <v/>
      </c>
      <c r="S26" t="n">
        <v>24</v>
      </c>
      <c r="T26" t="inlineStr">
        <is>
          <t>Turns leather, hides, and chitin into tier-specific medium armor, armor repair kits, and armor padding respectively.</t>
        </is>
      </c>
      <c r="U26" t="inlineStr">
        <is>
          <t>You can cut, punch and stitch a serviceable piece. It will chafe, and the stitching will want redoing before long.</t>
        </is>
      </c>
      <c r="Y26" t="inlineStr">
        <is>
          <t>https://drive.google.com/uc?export=download&amp;id=14vl9pRkEvT6dlWRNUNL2iIUmPAIkSamo</t>
        </is>
      </c>
    </row>
    <row r="27">
      <c r="A27" t="inlineStr">
        <is>
          <t>SK26</t>
        </is>
      </c>
      <c r="B27" t="inlineStr">
        <is>
          <t>item_template</t>
        </is>
      </c>
      <c r="C27" t="inlineStr">
        <is>
          <t>tile</t>
        </is>
      </c>
      <c r="D27" t="inlineStr">
        <is>
          <t>skills</t>
        </is>
      </c>
      <c r="E27" t="inlineStr">
        <is>
          <t>Journeyman Leatherworking</t>
        </is>
      </c>
      <c r="F27" t="inlineStr">
        <is>
          <t>skill</t>
        </is>
      </c>
      <c r="G27" t="inlineStr">
        <is>
          <t>profession</t>
        </is>
      </c>
      <c r="H27" t="inlineStr">
        <is>
          <t>crafting</t>
        </is>
      </c>
      <c r="I27" t="inlineStr">
        <is>
          <t>1</t>
        </is>
      </c>
      <c r="J27">
        <f>IF(G27="","",IFERROR(IF(G27="infusing",IFERROR(LOOKUP(2,1/ISNUMBER(SEARCH(_lookup!$D$3:$D$4,H27)),_lookup!$E$3:$E$4),"INT"),VLOOKUP(G27,_lookup!$A$3:$B$14,2,FALSE)),""))</f>
        <v/>
      </c>
      <c r="K27">
        <f>IF(F27&lt;&gt;"weapon","",IF(G27="miscellaneous","1-4",IF(I27="","",IFERROR(VLOOKUP(I27&amp;"|"&amp;IF(LEFT(H27,2)="2H",2,1)&amp;"|"&amp;IF(G27="slashing",1,0),_lookup!$G$3:$H$18,2,FALSE),""))))</f>
        <v/>
      </c>
      <c r="L27">
        <f>IF(K27="","",IF(OR(G27="channeling",G27="infusing"),"Magical",IF(G27="blocking","Anti-Physical",IF(G27="warding","Anti-Magical","Physical"))))</f>
        <v/>
      </c>
      <c r="O27">
        <f>IF(F27&lt;&gt;"armor","","TBD")</f>
        <v/>
      </c>
      <c r="P27">
        <f>IF(O27="","",IF(OR(G27="channeling",G27="infusing"),"Magical",IF(G27="blocking","Anti-Physical",IF(G27="warding","Anti-Magical","Physical"))))</f>
        <v/>
      </c>
      <c r="S27" t="n">
        <v>72</v>
      </c>
      <c r="T27" t="inlineStr">
        <is>
          <t>Turns leather, hides, and chitin into tier-specific medium armor, armor repair kits, and armor padding respectively.</t>
        </is>
      </c>
      <c r="U27" t="inlineStr">
        <is>
          <t>Your seams hold under strain and your padding sits where the blows land. The wearer stops noticing the armor, which is the point.</t>
        </is>
      </c>
      <c r="Y27" t="inlineStr">
        <is>
          <t>https://drive.google.com/uc?export=download&amp;id=14vl9pRkEvT6dlWRNUNL2iIUmPAIkSamo</t>
        </is>
      </c>
    </row>
    <row r="28">
      <c r="A28" t="inlineStr">
        <is>
          <t>SK27</t>
        </is>
      </c>
      <c r="B28" t="inlineStr">
        <is>
          <t>item_template</t>
        </is>
      </c>
      <c r="C28" t="inlineStr">
        <is>
          <t>tile</t>
        </is>
      </c>
      <c r="D28" t="inlineStr">
        <is>
          <t>skills</t>
        </is>
      </c>
      <c r="E28" t="inlineStr">
        <is>
          <t>Artisan Leatherworking</t>
        </is>
      </c>
      <c r="F28" t="inlineStr">
        <is>
          <t>skill</t>
        </is>
      </c>
      <c r="G28" t="inlineStr">
        <is>
          <t>profession</t>
        </is>
      </c>
      <c r="H28" t="inlineStr">
        <is>
          <t>crafting</t>
        </is>
      </c>
      <c r="I28" t="inlineStr">
        <is>
          <t>2</t>
        </is>
      </c>
      <c r="J28">
        <f>IF(G28="","",IFERROR(IF(G28="infusing",IFERROR(LOOKUP(2,1/ISNUMBER(SEARCH(_lookup!$D$3:$D$4,H28)),_lookup!$E$3:$E$4),"INT"),VLOOKUP(G28,_lookup!$A$3:$B$14,2,FALSE)),""))</f>
        <v/>
      </c>
      <c r="K28">
        <f>IF(F28&lt;&gt;"weapon","",IF(G28="miscellaneous","1-4",IF(I28="","",IFERROR(VLOOKUP(I28&amp;"|"&amp;IF(LEFT(H28,2)="2H",2,1)&amp;"|"&amp;IF(G28="slashing",1,0),_lookup!$G$3:$H$18,2,FALSE),""))))</f>
        <v/>
      </c>
      <c r="L28">
        <f>IF(K28="","",IF(OR(G28="channeling",G28="infusing"),"Magical",IF(G28="blocking","Anti-Physical",IF(G28="warding","Anti-Magical","Physical"))))</f>
        <v/>
      </c>
      <c r="O28">
        <f>IF(F28&lt;&gt;"armor","","TBD")</f>
        <v/>
      </c>
      <c r="P28">
        <f>IF(O28="","",IF(OR(G28="channeling",G28="infusing"),"Magical",IF(G28="blocking","Anti-Physical",IF(G28="warding","Anti-Magical","Physical"))))</f>
        <v/>
      </c>
      <c r="S28" t="n">
        <v>288</v>
      </c>
      <c r="T28" t="inlineStr">
        <is>
          <t>Turns leather, hides, and chitin into tier-specific medium armor, armor repair kits, and armor padding respectively.</t>
        </is>
      </c>
      <c r="U28" t="inlineStr">
        <is>
          <t>You work chitin as readily as hide, and your repair kits bring a ruined piece back to service without leaving the field.</t>
        </is>
      </c>
      <c r="Y28" t="inlineStr">
        <is>
          <t>https://drive.google.com/uc?export=download&amp;id=14vl9pRkEvT6dlWRNUNL2iIUmPAIkSamo</t>
        </is>
      </c>
    </row>
    <row r="29">
      <c r="A29" t="inlineStr">
        <is>
          <t>SK28</t>
        </is>
      </c>
      <c r="B29" t="inlineStr">
        <is>
          <t>item_template</t>
        </is>
      </c>
      <c r="C29" t="inlineStr">
        <is>
          <t>tile</t>
        </is>
      </c>
      <c r="D29" t="inlineStr">
        <is>
          <t>skills</t>
        </is>
      </c>
      <c r="E29" t="inlineStr">
        <is>
          <t>Master Leatherworking</t>
        </is>
      </c>
      <c r="F29" t="inlineStr">
        <is>
          <t>skill</t>
        </is>
      </c>
      <c r="G29" t="inlineStr">
        <is>
          <t>profession</t>
        </is>
      </c>
      <c r="H29" t="inlineStr">
        <is>
          <t>crafting</t>
        </is>
      </c>
      <c r="I29" t="inlineStr">
        <is>
          <t>3</t>
        </is>
      </c>
      <c r="J29">
        <f>IF(G29="","",IFERROR(IF(G29="infusing",IFERROR(LOOKUP(2,1/ISNUMBER(SEARCH(_lookup!$D$3:$D$4,H29)),_lookup!$E$3:$E$4),"INT"),VLOOKUP(G29,_lookup!$A$3:$B$14,2,FALSE)),""))</f>
        <v/>
      </c>
      <c r="K29">
        <f>IF(F29&lt;&gt;"weapon","",IF(G29="miscellaneous","1-4",IF(I29="","",IFERROR(VLOOKUP(I29&amp;"|"&amp;IF(LEFT(H29,2)="2H",2,1)&amp;"|"&amp;IF(G29="slashing",1,0),_lookup!$G$3:$H$18,2,FALSE),""))))</f>
        <v/>
      </c>
      <c r="L29">
        <f>IF(K29="","",IF(OR(G29="channeling",G29="infusing"),"Magical",IF(G29="blocking","Anti-Physical",IF(G29="warding","Anti-Magical","Physical"))))</f>
        <v/>
      </c>
      <c r="O29">
        <f>IF(F29&lt;&gt;"armor","","TBD")</f>
        <v/>
      </c>
      <c r="P29">
        <f>IF(O29="","",IF(OR(G29="channeling",G29="infusing"),"Magical",IF(G29="blocking","Anti-Physical",IF(G29="warding","Anti-Magical","Physical"))))</f>
        <v/>
      </c>
      <c r="S29" t="n">
        <v>800</v>
      </c>
      <c r="T29" t="inlineStr">
        <is>
          <t>Turns leather, hides, and chitin into tier-specific medium armor, armor repair kits, and armor padding respectively.</t>
        </is>
      </c>
      <c r="U29" t="inlineStr">
        <is>
          <t>What leaves your bench is light, silent and proof against far more than it looks. The best scouts in the Woodland wear your work.</t>
        </is>
      </c>
      <c r="Y29" t="inlineStr">
        <is>
          <t>https://drive.google.com/uc?export=download&amp;id=14vl9pRkEvT6dlWRNUNL2iIUmPAIkSamo</t>
        </is>
      </c>
    </row>
    <row r="30">
      <c r="A30" t="inlineStr">
        <is>
          <t>SK29</t>
        </is>
      </c>
      <c r="B30" t="inlineStr">
        <is>
          <t>item_template</t>
        </is>
      </c>
      <c r="C30" t="inlineStr">
        <is>
          <t>tile</t>
        </is>
      </c>
      <c r="D30" t="inlineStr">
        <is>
          <t>skills</t>
        </is>
      </c>
      <c r="E30" t="inlineStr">
        <is>
          <t>Novice Mining</t>
        </is>
      </c>
      <c r="F30" t="inlineStr">
        <is>
          <t>skill</t>
        </is>
      </c>
      <c r="G30" t="inlineStr">
        <is>
          <t>profession</t>
        </is>
      </c>
      <c r="H30" t="inlineStr">
        <is>
          <t>gathering</t>
        </is>
      </c>
      <c r="I30" t="inlineStr">
        <is>
          <t>0</t>
        </is>
      </c>
      <c r="J30">
        <f>IF(G30="","",IFERROR(IF(G30="infusing",IFERROR(LOOKUP(2,1/ISNUMBER(SEARCH(_lookup!$D$3:$D$4,H30)),_lookup!$E$3:$E$4),"INT"),VLOOKUP(G30,_lookup!$A$3:$B$14,2,FALSE)),""))</f>
        <v/>
      </c>
      <c r="K30">
        <f>IF(F30&lt;&gt;"weapon","",IF(G30="miscellaneous","1-4",IF(I30="","",IFERROR(VLOOKUP(I30&amp;"|"&amp;IF(LEFT(H30,2)="2H",2,1)&amp;"|"&amp;IF(G30="slashing",1,0),_lookup!$G$3:$H$18,2,FALSE),""))))</f>
        <v/>
      </c>
      <c r="L30">
        <f>IF(K30="","",IF(OR(G30="channeling",G30="infusing"),"Magical",IF(G30="blocking","Anti-Physical",IF(G30="warding","Anti-Magical","Physical"))))</f>
        <v/>
      </c>
      <c r="O30">
        <f>IF(F30&lt;&gt;"armor","","TBD")</f>
        <v/>
      </c>
      <c r="P30">
        <f>IF(O30="","",IF(OR(G30="channeling",G30="infusing"),"Magical",IF(G30="blocking","Anti-Physical",IF(G30="warding","Anti-Magical","Physical"))))</f>
        <v/>
      </c>
      <c r="S30" t="n">
        <v>24</v>
      </c>
      <c r="T30" t="inlineStr">
        <is>
          <t>Gathers ore, stones, and gems.</t>
        </is>
      </c>
      <c r="U30" t="inlineStr">
        <is>
          <t>You can swing true and tell ore from plain rock, usually by the second swing. The seams you find are shallow ones.</t>
        </is>
      </c>
      <c r="Y30" t="inlineStr">
        <is>
          <t>https://drive.google.com/uc?export=download&amp;id=1kcLwi4jNMW__8kUBoiyGAt-dNnRmsBNu</t>
        </is>
      </c>
    </row>
    <row r="31">
      <c r="A31" t="inlineStr">
        <is>
          <t>SK30</t>
        </is>
      </c>
      <c r="B31" t="inlineStr">
        <is>
          <t>item_template</t>
        </is>
      </c>
      <c r="C31" t="inlineStr">
        <is>
          <t>tile</t>
        </is>
      </c>
      <c r="D31" t="inlineStr">
        <is>
          <t>skills</t>
        </is>
      </c>
      <c r="E31" t="inlineStr">
        <is>
          <t>Journeyman Mining</t>
        </is>
      </c>
      <c r="F31" t="inlineStr">
        <is>
          <t>skill</t>
        </is>
      </c>
      <c r="G31" t="inlineStr">
        <is>
          <t>profession</t>
        </is>
      </c>
      <c r="H31" t="inlineStr">
        <is>
          <t>gathering</t>
        </is>
      </c>
      <c r="I31" t="inlineStr">
        <is>
          <t>1</t>
        </is>
      </c>
      <c r="J31">
        <f>IF(G31="","",IFERROR(IF(G31="infusing",IFERROR(LOOKUP(2,1/ISNUMBER(SEARCH(_lookup!$D$3:$D$4,H31)),_lookup!$E$3:$E$4),"INT"),VLOOKUP(G31,_lookup!$A$3:$B$14,2,FALSE)),""))</f>
        <v/>
      </c>
      <c r="K31">
        <f>IF(F31&lt;&gt;"weapon","",IF(G31="miscellaneous","1-4",IF(I31="","",IFERROR(VLOOKUP(I31&amp;"|"&amp;IF(LEFT(H31,2)="2H",2,1)&amp;"|"&amp;IF(G31="slashing",1,0),_lookup!$G$3:$H$18,2,FALSE),""))))</f>
        <v/>
      </c>
      <c r="L31">
        <f>IF(K31="","",IF(OR(G31="channeling",G31="infusing"),"Magical",IF(G31="blocking","Anti-Physical",IF(G31="warding","Anti-Magical","Physical"))))</f>
        <v/>
      </c>
      <c r="O31">
        <f>IF(F31&lt;&gt;"armor","","TBD")</f>
        <v/>
      </c>
      <c r="P31">
        <f>IF(O31="","",IF(OR(G31="channeling",G31="infusing"),"Magical",IF(G31="blocking","Anti-Physical",IF(G31="warding","Anti-Magical","Physical"))))</f>
        <v/>
      </c>
      <c r="S31" t="n">
        <v>72</v>
      </c>
      <c r="T31" t="inlineStr">
        <is>
          <t>Gathers ore, stones, and gems.</t>
        </is>
      </c>
      <c r="U31" t="inlineStr">
        <is>
          <t>You read the grain of a face before you strike it, and the stone comes away where you meant it to.</t>
        </is>
      </c>
      <c r="Y31" t="inlineStr">
        <is>
          <t>https://drive.google.com/uc?export=download&amp;id=1kcLwi4jNMW__8kUBoiyGAt-dNnRmsBNu</t>
        </is>
      </c>
    </row>
    <row r="32">
      <c r="A32" t="inlineStr">
        <is>
          <t>SK31</t>
        </is>
      </c>
      <c r="B32" t="inlineStr">
        <is>
          <t>item_template</t>
        </is>
      </c>
      <c r="C32" t="inlineStr">
        <is>
          <t>tile</t>
        </is>
      </c>
      <c r="D32" t="inlineStr">
        <is>
          <t>skills</t>
        </is>
      </c>
      <c r="E32" t="inlineStr">
        <is>
          <t>Artisan Mining</t>
        </is>
      </c>
      <c r="F32" t="inlineStr">
        <is>
          <t>skill</t>
        </is>
      </c>
      <c r="G32" t="inlineStr">
        <is>
          <t>profession</t>
        </is>
      </c>
      <c r="H32" t="inlineStr">
        <is>
          <t>gathering</t>
        </is>
      </c>
      <c r="I32" t="inlineStr">
        <is>
          <t>2</t>
        </is>
      </c>
      <c r="J32">
        <f>IF(G32="","",IFERROR(IF(G32="infusing",IFERROR(LOOKUP(2,1/ISNUMBER(SEARCH(_lookup!$D$3:$D$4,H32)),_lookup!$E$3:$E$4),"INT"),VLOOKUP(G32,_lookup!$A$3:$B$14,2,FALSE)),""))</f>
        <v/>
      </c>
      <c r="K32">
        <f>IF(F32&lt;&gt;"weapon","",IF(G32="miscellaneous","1-4",IF(I32="","",IFERROR(VLOOKUP(I32&amp;"|"&amp;IF(LEFT(H32,2)="2H",2,1)&amp;"|"&amp;IF(G32="slashing",1,0),_lookup!$G$3:$H$18,2,FALSE),""))))</f>
        <v/>
      </c>
      <c r="L32">
        <f>IF(K32="","",IF(OR(G32="channeling",G32="infusing"),"Magical",IF(G32="blocking","Anti-Physical",IF(G32="warding","Anti-Magical","Physical"))))</f>
        <v/>
      </c>
      <c r="O32">
        <f>IF(F32&lt;&gt;"armor","","TBD")</f>
        <v/>
      </c>
      <c r="P32">
        <f>IF(O32="","",IF(OR(G32="channeling",G32="infusing"),"Magical",IF(G32="blocking","Anti-Physical",IF(G32="warding","Anti-Magical","Physical"))))</f>
        <v/>
      </c>
      <c r="S32" t="n">
        <v>288</v>
      </c>
      <c r="T32" t="inlineStr">
        <is>
          <t>Gathers ore, stones, and gems.</t>
        </is>
      </c>
      <c r="U32" t="inlineStr">
        <is>
          <t>You follow a seam deep without losing it, and the gems you cut free come out whole rather than in pieces.</t>
        </is>
      </c>
      <c r="Y32" t="inlineStr">
        <is>
          <t>https://drive.google.com/uc?export=download&amp;id=1kcLwi4jNMW__8kUBoiyGAt-dNnRmsBNu</t>
        </is>
      </c>
    </row>
    <row r="33">
      <c r="A33" t="inlineStr">
        <is>
          <t>SK32</t>
        </is>
      </c>
      <c r="B33" t="inlineStr">
        <is>
          <t>item_template</t>
        </is>
      </c>
      <c r="C33" t="inlineStr">
        <is>
          <t>tile</t>
        </is>
      </c>
      <c r="D33" t="inlineStr">
        <is>
          <t>skills</t>
        </is>
      </c>
      <c r="E33" t="inlineStr">
        <is>
          <t>Master Mining</t>
        </is>
      </c>
      <c r="F33" t="inlineStr">
        <is>
          <t>skill</t>
        </is>
      </c>
      <c r="G33" t="inlineStr">
        <is>
          <t>profession</t>
        </is>
      </c>
      <c r="H33" t="inlineStr">
        <is>
          <t>gathering</t>
        </is>
      </c>
      <c r="I33" t="inlineStr">
        <is>
          <t>3</t>
        </is>
      </c>
      <c r="J33">
        <f>IF(G33="","",IFERROR(IF(G33="infusing",IFERROR(LOOKUP(2,1/ISNUMBER(SEARCH(_lookup!$D$3:$D$4,H33)),_lookup!$E$3:$E$4),"INT"),VLOOKUP(G33,_lookup!$A$3:$B$14,2,FALSE)),""))</f>
        <v/>
      </c>
      <c r="K33">
        <f>IF(F33&lt;&gt;"weapon","",IF(G33="miscellaneous","1-4",IF(I33="","",IFERROR(VLOOKUP(I33&amp;"|"&amp;IF(LEFT(H33,2)="2H",2,1)&amp;"|"&amp;IF(G33="slashing",1,0),_lookup!$G$3:$H$18,2,FALSE),""))))</f>
        <v/>
      </c>
      <c r="L33">
        <f>IF(K33="","",IF(OR(G33="channeling",G33="infusing"),"Magical",IF(G33="blocking","Anti-Physical",IF(G33="warding","Anti-Magical","Physical"))))</f>
        <v/>
      </c>
      <c r="O33">
        <f>IF(F33&lt;&gt;"armor","","TBD")</f>
        <v/>
      </c>
      <c r="P33">
        <f>IF(O33="","",IF(OR(G33="channeling",G33="infusing"),"Magical",IF(G33="blocking","Anti-Physical",IF(G33="warding","Anti-Magical","Physical"))))</f>
        <v/>
      </c>
      <c r="S33" t="n">
        <v>800</v>
      </c>
      <c r="T33" t="inlineStr">
        <is>
          <t>Gathers ore, stones, and gems.</t>
        </is>
      </c>
      <c r="U33" t="inlineStr">
        <is>
          <t>You find the ore that others have walked over for years. The deep veins open for you, and they give up what they have been holding.</t>
        </is>
      </c>
      <c r="Y33" t="inlineStr">
        <is>
          <t>https://drive.google.com/uc?export=download&amp;id=1kcLwi4jNMW__8kUBoiyGAt-dNnRmsBNu</t>
        </is>
      </c>
    </row>
    <row r="34">
      <c r="A34" t="inlineStr">
        <is>
          <t>SK33</t>
        </is>
      </c>
      <c r="B34" t="inlineStr">
        <is>
          <t>item_template</t>
        </is>
      </c>
      <c r="C34" t="inlineStr">
        <is>
          <t>tile</t>
        </is>
      </c>
      <c r="D34" t="inlineStr">
        <is>
          <t>skills</t>
        </is>
      </c>
      <c r="E34" t="inlineStr">
        <is>
          <t>Novice Survival</t>
        </is>
      </c>
      <c r="F34" t="inlineStr">
        <is>
          <t>skill</t>
        </is>
      </c>
      <c r="G34" t="inlineStr">
        <is>
          <t>profession</t>
        </is>
      </c>
      <c r="H34" t="inlineStr">
        <is>
          <t>crafting</t>
        </is>
      </c>
      <c r="I34" t="inlineStr">
        <is>
          <t>0</t>
        </is>
      </c>
      <c r="J34">
        <f>IF(G34="","",IFERROR(IF(G34="infusing",IFERROR(LOOKUP(2,1/ISNUMBER(SEARCH(_lookup!$D$3:$D$4,H34)),_lookup!$E$3:$E$4),"INT"),VLOOKUP(G34,_lookup!$A$3:$B$14,2,FALSE)),""))</f>
        <v/>
      </c>
      <c r="K34">
        <f>IF(F34&lt;&gt;"weapon","",IF(G34="miscellaneous","1-4",IF(I34="","",IFERROR(VLOOKUP(I34&amp;"|"&amp;IF(LEFT(H34,2)="2H",2,1)&amp;"|"&amp;IF(G34="slashing",1,0),_lookup!$G$3:$H$18,2,FALSE),""))))</f>
        <v/>
      </c>
      <c r="L34">
        <f>IF(K34="","",IF(OR(G34="channeling",G34="infusing"),"Magical",IF(G34="blocking","Anti-Physical",IF(G34="warding","Anti-Magical","Physical"))))</f>
        <v/>
      </c>
      <c r="O34">
        <f>IF(F34&lt;&gt;"armor","","TBD")</f>
        <v/>
      </c>
      <c r="P34">
        <f>IF(O34="","",IF(OR(G34="channeling",G34="infusing"),"Magical",IF(G34="blocking","Anti-Physical",IF(G34="warding","Anti-Magical","Physical"))))</f>
        <v/>
      </c>
      <c r="S34" t="n">
        <v>24</v>
      </c>
      <c r="T34" t="inlineStr">
        <is>
          <t>Turns meat/fish, mushrooms, herbs, and wraps into tier-specific food, drink, potions, and bandages.</t>
        </is>
      </c>
      <c r="U34" t="inlineStr">
        <is>
          <t>You can cook what you catch without ruining it, and bind a wound so it stops bleeding. Neither is pleasant.</t>
        </is>
      </c>
      <c r="Y34" t="inlineStr">
        <is>
          <t>https://drive.google.com/uc?export=download&amp;id=1GCcx0H0_tm9QL9FaofEFMzsPHkaDpDDk</t>
        </is>
      </c>
    </row>
    <row r="35">
      <c r="A35" t="inlineStr">
        <is>
          <t>SK34</t>
        </is>
      </c>
      <c r="B35" t="inlineStr">
        <is>
          <t>item_template</t>
        </is>
      </c>
      <c r="C35" t="inlineStr">
        <is>
          <t>tile</t>
        </is>
      </c>
      <c r="D35" t="inlineStr">
        <is>
          <t>skills</t>
        </is>
      </c>
      <c r="E35" t="inlineStr">
        <is>
          <t>Journeyman Survival</t>
        </is>
      </c>
      <c r="F35" t="inlineStr">
        <is>
          <t>skill</t>
        </is>
      </c>
      <c r="G35" t="inlineStr">
        <is>
          <t>profession</t>
        </is>
      </c>
      <c r="H35" t="inlineStr">
        <is>
          <t>crafting</t>
        </is>
      </c>
      <c r="I35" t="inlineStr">
        <is>
          <t>1</t>
        </is>
      </c>
      <c r="J35">
        <f>IF(G35="","",IFERROR(IF(G35="infusing",IFERROR(LOOKUP(2,1/ISNUMBER(SEARCH(_lookup!$D$3:$D$4,H35)),_lookup!$E$3:$E$4),"INT"),VLOOKUP(G35,_lookup!$A$3:$B$14,2,FALSE)),""))</f>
        <v/>
      </c>
      <c r="K35">
        <f>IF(F35&lt;&gt;"weapon","",IF(G35="miscellaneous","1-4",IF(I35="","",IFERROR(VLOOKUP(I35&amp;"|"&amp;IF(LEFT(H35,2)="2H",2,1)&amp;"|"&amp;IF(G35="slashing",1,0),_lookup!$G$3:$H$18,2,FALSE),""))))</f>
        <v/>
      </c>
      <c r="L35">
        <f>IF(K35="","",IF(OR(G35="channeling",G35="infusing"),"Magical",IF(G35="blocking","Anti-Physical",IF(G35="warding","Anti-Magical","Physical"))))</f>
        <v/>
      </c>
      <c r="O35">
        <f>IF(F35&lt;&gt;"armor","","TBD")</f>
        <v/>
      </c>
      <c r="P35">
        <f>IF(O35="","",IF(OR(G35="channeling",G35="infusing"),"Magical",IF(G35="blocking","Anti-Physical",IF(G35="warding","Anti-Magical","Physical"))))</f>
        <v/>
      </c>
      <c r="S35" t="n">
        <v>72</v>
      </c>
      <c r="T35" t="inlineStr">
        <is>
          <t>Turns meat/fish, mushrooms, herbs, and wraps into tier-specific food, drink, potions, and bandages.</t>
        </is>
      </c>
      <c r="U35" t="inlineStr">
        <is>
          <t>Your meals keep a party on its feet through a hard day, and your bandages hold through the next fight.</t>
        </is>
      </c>
      <c r="Y35" t="inlineStr">
        <is>
          <t>https://drive.google.com/uc?export=download&amp;id=1GCcx0H0_tm9QL9FaofEFMzsPHkaDpDDk</t>
        </is>
      </c>
    </row>
    <row r="36">
      <c r="A36" t="inlineStr">
        <is>
          <t>SK35</t>
        </is>
      </c>
      <c r="B36" t="inlineStr">
        <is>
          <t>item_template</t>
        </is>
      </c>
      <c r="C36" t="inlineStr">
        <is>
          <t>tile</t>
        </is>
      </c>
      <c r="D36" t="inlineStr">
        <is>
          <t>skills</t>
        </is>
      </c>
      <c r="E36" t="inlineStr">
        <is>
          <t>Artisan Survival</t>
        </is>
      </c>
      <c r="F36" t="inlineStr">
        <is>
          <t>skill</t>
        </is>
      </c>
      <c r="G36" t="inlineStr">
        <is>
          <t>profession</t>
        </is>
      </c>
      <c r="H36" t="inlineStr">
        <is>
          <t>crafting</t>
        </is>
      </c>
      <c r="I36" t="inlineStr">
        <is>
          <t>2</t>
        </is>
      </c>
      <c r="J36">
        <f>IF(G36="","",IFERROR(IF(G36="infusing",IFERROR(LOOKUP(2,1/ISNUMBER(SEARCH(_lookup!$D$3:$D$4,H36)),_lookup!$E$3:$E$4),"INT"),VLOOKUP(G36,_lookup!$A$3:$B$14,2,FALSE)),""))</f>
        <v/>
      </c>
      <c r="K36">
        <f>IF(F36&lt;&gt;"weapon","",IF(G36="miscellaneous","1-4",IF(I36="","",IFERROR(VLOOKUP(I36&amp;"|"&amp;IF(LEFT(H36,2)="2H",2,1)&amp;"|"&amp;IF(G36="slashing",1,0),_lookup!$G$3:$H$18,2,FALSE),""))))</f>
        <v/>
      </c>
      <c r="L36">
        <f>IF(K36="","",IF(OR(G36="channeling",G36="infusing"),"Magical",IF(G36="blocking","Anti-Physical",IF(G36="warding","Anti-Magical","Physical"))))</f>
        <v/>
      </c>
      <c r="O36">
        <f>IF(F36&lt;&gt;"armor","","TBD")</f>
        <v/>
      </c>
      <c r="P36">
        <f>IF(O36="","",IF(OR(G36="channeling",G36="infusing"),"Magical",IF(G36="blocking","Anti-Physical",IF(G36="warding","Anti-Magical","Physical"))))</f>
        <v/>
      </c>
      <c r="S36" t="n">
        <v>288</v>
      </c>
      <c r="T36" t="inlineStr">
        <is>
          <t>Turns meat/fish, mushrooms, herbs, and wraps into tier-specific food, drink, potions, and bandages.</t>
        </is>
      </c>
      <c r="U36" t="inlineStr">
        <is>
          <t>You know which herb answers which hurt, and your potions do what they promise without the usual aftertaste.</t>
        </is>
      </c>
      <c r="Y36" t="inlineStr">
        <is>
          <t>https://drive.google.com/uc?export=download&amp;id=1GCcx0H0_tm9QL9FaofEFMzsPHkaDpDDk</t>
        </is>
      </c>
    </row>
    <row r="37">
      <c r="A37" t="inlineStr">
        <is>
          <t>SK36</t>
        </is>
      </c>
      <c r="B37" t="inlineStr">
        <is>
          <t>item_template</t>
        </is>
      </c>
      <c r="C37" t="inlineStr">
        <is>
          <t>tile</t>
        </is>
      </c>
      <c r="D37" t="inlineStr">
        <is>
          <t>skills</t>
        </is>
      </c>
      <c r="E37" t="inlineStr">
        <is>
          <t>Master Survival</t>
        </is>
      </c>
      <c r="F37" t="inlineStr">
        <is>
          <t>skill</t>
        </is>
      </c>
      <c r="G37" t="inlineStr">
        <is>
          <t>profession</t>
        </is>
      </c>
      <c r="H37" t="inlineStr">
        <is>
          <t>crafting</t>
        </is>
      </c>
      <c r="I37" t="inlineStr">
        <is>
          <t>3</t>
        </is>
      </c>
      <c r="J37">
        <f>IF(G37="","",IFERROR(IF(G37="infusing",IFERROR(LOOKUP(2,1/ISNUMBER(SEARCH(_lookup!$D$3:$D$4,H37)),_lookup!$E$3:$E$4),"INT"),VLOOKUP(G37,_lookup!$A$3:$B$14,2,FALSE)),""))</f>
        <v/>
      </c>
      <c r="K37">
        <f>IF(F37&lt;&gt;"weapon","",IF(G37="miscellaneous","1-4",IF(I37="","",IFERROR(VLOOKUP(I37&amp;"|"&amp;IF(LEFT(H37,2)="2H",2,1)&amp;"|"&amp;IF(G37="slashing",1,0),_lookup!$G$3:$H$18,2,FALSE),""))))</f>
        <v/>
      </c>
      <c r="L37">
        <f>IF(K37="","",IF(OR(G37="channeling",G37="infusing"),"Magical",IF(G37="blocking","Anti-Physical",IF(G37="warding","Anti-Magical","Physical"))))</f>
        <v/>
      </c>
      <c r="O37">
        <f>IF(F37&lt;&gt;"armor","","TBD")</f>
        <v/>
      </c>
      <c r="P37">
        <f>IF(O37="","",IF(OR(G37="channeling",G37="infusing"),"Magical",IF(G37="blocking","Anti-Physical",IF(G37="warding","Anti-Magical","Physical"))))</f>
        <v/>
      </c>
      <c r="S37" t="n">
        <v>800</v>
      </c>
      <c r="T37" t="inlineStr">
        <is>
          <t>Turns meat/fish, mushrooms, herbs, and wraps into tier-specific food, drink, potions, and bandages.</t>
        </is>
      </c>
      <c r="U37" t="inlineStr">
        <is>
          <t>A camp with you in it does not go hungry and does not stay wounded. There is no better thing to have on a long road.</t>
        </is>
      </c>
      <c r="Y37" t="inlineStr">
        <is>
          <t>https://drive.google.com/uc?export=download&amp;id=1GCcx0H0_tm9QL9FaofEFMzsPHkaDpDDk</t>
        </is>
      </c>
    </row>
    <row r="38">
      <c r="A38" t="inlineStr">
        <is>
          <t>SK37</t>
        </is>
      </c>
      <c r="B38" t="inlineStr">
        <is>
          <t>item_template</t>
        </is>
      </c>
      <c r="C38" t="inlineStr">
        <is>
          <t>tile</t>
        </is>
      </c>
      <c r="D38" t="inlineStr">
        <is>
          <t>skills</t>
        </is>
      </c>
      <c r="E38" t="inlineStr">
        <is>
          <t>Novice Tailoring</t>
        </is>
      </c>
      <c r="F38" t="inlineStr">
        <is>
          <t>skill</t>
        </is>
      </c>
      <c r="G38" t="inlineStr">
        <is>
          <t>profession</t>
        </is>
      </c>
      <c r="H38" t="inlineStr">
        <is>
          <t>crafting</t>
        </is>
      </c>
      <c r="I38" t="inlineStr">
        <is>
          <t>0</t>
        </is>
      </c>
      <c r="J38">
        <f>IF(G38="","",IFERROR(IF(G38="infusing",IFERROR(LOOKUP(2,1/ISNUMBER(SEARCH(_lookup!$D$3:$D$4,H38)),_lookup!$E$3:$E$4),"INT"),VLOOKUP(G38,_lookup!$A$3:$B$14,2,FALSE)),""))</f>
        <v/>
      </c>
      <c r="K38">
        <f>IF(F38&lt;&gt;"weapon","",IF(G38="miscellaneous","1-4",IF(I38="","",IFERROR(VLOOKUP(I38&amp;"|"&amp;IF(LEFT(H38,2)="2H",2,1)&amp;"|"&amp;IF(G38="slashing",1,0),_lookup!$G$3:$H$18,2,FALSE),""))))</f>
        <v/>
      </c>
      <c r="L38">
        <f>IF(K38="","",IF(OR(G38="channeling",G38="infusing"),"Magical",IF(G38="blocking","Anti-Physical",IF(G38="warding","Anti-Magical","Physical"))))</f>
        <v/>
      </c>
      <c r="O38">
        <f>IF(F38&lt;&gt;"armor","","TBD")</f>
        <v/>
      </c>
      <c r="P38">
        <f>IF(O38="","",IF(OR(G38="channeling",G38="infusing"),"Magical",IF(G38="blocking","Anti-Physical",IF(G38="warding","Anti-Magical","Physical"))))</f>
        <v/>
      </c>
      <c r="S38" t="n">
        <v>24</v>
      </c>
      <c r="T38" t="inlineStr">
        <is>
          <t>Turns fibers into tier-specific light armor and warding weapons.</t>
        </is>
      </c>
      <c r="U38" t="inlineStr">
        <is>
          <t>You can cut cloth to a pattern and sew a seam that holds. The drape is poor and the hems want watching.</t>
        </is>
      </c>
      <c r="Y38" t="inlineStr">
        <is>
          <t>https://drive.google.com/uc?export=download&amp;id=10zkLgdxxOwcqsZxTXWZH19FWG35xxzSW</t>
        </is>
      </c>
    </row>
    <row r="39">
      <c r="A39" t="inlineStr">
        <is>
          <t>SK38</t>
        </is>
      </c>
      <c r="B39" t="inlineStr">
        <is>
          <t>item_template</t>
        </is>
      </c>
      <c r="C39" t="inlineStr">
        <is>
          <t>tile</t>
        </is>
      </c>
      <c r="D39" t="inlineStr">
        <is>
          <t>skills</t>
        </is>
      </c>
      <c r="E39" t="inlineStr">
        <is>
          <t>Journeyman Tailoring</t>
        </is>
      </c>
      <c r="F39" t="inlineStr">
        <is>
          <t>skill</t>
        </is>
      </c>
      <c r="G39" t="inlineStr">
        <is>
          <t>profession</t>
        </is>
      </c>
      <c r="H39" t="inlineStr">
        <is>
          <t>crafting</t>
        </is>
      </c>
      <c r="I39" t="inlineStr">
        <is>
          <t>1</t>
        </is>
      </c>
      <c r="J39">
        <f>IF(G39="","",IFERROR(IF(G39="infusing",IFERROR(LOOKUP(2,1/ISNUMBER(SEARCH(_lookup!$D$3:$D$4,H39)),_lookup!$E$3:$E$4),"INT"),VLOOKUP(G39,_lookup!$A$3:$B$14,2,FALSE)),""))</f>
        <v/>
      </c>
      <c r="K39">
        <f>IF(F39&lt;&gt;"weapon","",IF(G39="miscellaneous","1-4",IF(I39="","",IFERROR(VLOOKUP(I39&amp;"|"&amp;IF(LEFT(H39,2)="2H",2,1)&amp;"|"&amp;IF(G39="slashing",1,0),_lookup!$G$3:$H$18,2,FALSE),""))))</f>
        <v/>
      </c>
      <c r="L39">
        <f>IF(K39="","",IF(OR(G39="channeling",G39="infusing"),"Magical",IF(G39="blocking","Anti-Physical",IF(G39="warding","Anti-Magical","Physical"))))</f>
        <v/>
      </c>
      <c r="O39">
        <f>IF(F39&lt;&gt;"armor","","TBD")</f>
        <v/>
      </c>
      <c r="P39">
        <f>IF(O39="","",IF(OR(G39="channeling",G39="infusing"),"Magical",IF(G39="blocking","Anti-Physical",IF(G39="warding","Anti-Magical","Physical"))))</f>
        <v/>
      </c>
      <c r="S39" t="n">
        <v>72</v>
      </c>
      <c r="T39" t="inlineStr">
        <is>
          <t>Turns fibers into tier-specific light armor and warding weapons.</t>
        </is>
      </c>
      <c r="U39" t="inlineStr">
        <is>
          <t>Your cloth hangs right and your warding stitches lie where they should. The weave takes a charge and keeps it.</t>
        </is>
      </c>
      <c r="Y39" t="inlineStr">
        <is>
          <t>https://drive.google.com/uc?export=download&amp;id=10zkLgdxxOwcqsZxTXWZH19FWG35xxzSW</t>
        </is>
      </c>
    </row>
    <row r="40">
      <c r="A40" t="inlineStr">
        <is>
          <t>SK39</t>
        </is>
      </c>
      <c r="B40" t="inlineStr">
        <is>
          <t>item_template</t>
        </is>
      </c>
      <c r="C40" t="inlineStr">
        <is>
          <t>tile</t>
        </is>
      </c>
      <c r="D40" t="inlineStr">
        <is>
          <t>skills</t>
        </is>
      </c>
      <c r="E40" t="inlineStr">
        <is>
          <t>Artisan Tailoring</t>
        </is>
      </c>
      <c r="F40" t="inlineStr">
        <is>
          <t>skill</t>
        </is>
      </c>
      <c r="G40" t="inlineStr">
        <is>
          <t>profession</t>
        </is>
      </c>
      <c r="H40" t="inlineStr">
        <is>
          <t>crafting</t>
        </is>
      </c>
      <c r="I40" t="inlineStr">
        <is>
          <t>2</t>
        </is>
      </c>
      <c r="J40">
        <f>IF(G40="","",IFERROR(IF(G40="infusing",IFERROR(LOOKUP(2,1/ISNUMBER(SEARCH(_lookup!$D$3:$D$4,H40)),_lookup!$E$3:$E$4),"INT"),VLOOKUP(G40,_lookup!$A$3:$B$14,2,FALSE)),""))</f>
        <v/>
      </c>
      <c r="K40">
        <f>IF(F40&lt;&gt;"weapon","",IF(G40="miscellaneous","1-4",IF(I40="","",IFERROR(VLOOKUP(I40&amp;"|"&amp;IF(LEFT(H40,2)="2H",2,1)&amp;"|"&amp;IF(G40="slashing",1,0),_lookup!$G$3:$H$18,2,FALSE),""))))</f>
        <v/>
      </c>
      <c r="L40">
        <f>IF(K40="","",IF(OR(G40="channeling",G40="infusing"),"Magical",IF(G40="blocking","Anti-Physical",IF(G40="warding","Anti-Magical","Physical"))))</f>
        <v/>
      </c>
      <c r="O40">
        <f>IF(F40&lt;&gt;"armor","","TBD")</f>
        <v/>
      </c>
      <c r="P40">
        <f>IF(O40="","",IF(OR(G40="channeling",G40="infusing"),"Magical",IF(G40="blocking","Anti-Physical",IF(G40="warding","Anti-Magical","Physical"))))</f>
        <v/>
      </c>
      <c r="S40" t="n">
        <v>288</v>
      </c>
      <c r="T40" t="inlineStr">
        <is>
          <t>Turns fibers into tier-specific light armor and warding weapons.</t>
        </is>
      </c>
      <c r="U40" t="inlineStr">
        <is>
          <t>You work fibers others cannot keep still, and the wards you sew in hold against things that would tear ordinary cloth apart.</t>
        </is>
      </c>
      <c r="Y40" t="inlineStr">
        <is>
          <t>https://drive.google.com/uc?export=download&amp;id=10zkLgdxxOwcqsZxTXWZH19FWG35xxzSW</t>
        </is>
      </c>
    </row>
    <row r="41">
      <c r="A41" t="inlineStr">
        <is>
          <t>SK40</t>
        </is>
      </c>
      <c r="B41" t="inlineStr">
        <is>
          <t>item_template</t>
        </is>
      </c>
      <c r="C41" t="inlineStr">
        <is>
          <t>tile</t>
        </is>
      </c>
      <c r="D41" t="inlineStr">
        <is>
          <t>skills</t>
        </is>
      </c>
      <c r="E41" t="inlineStr">
        <is>
          <t>Master Tailoring</t>
        </is>
      </c>
      <c r="F41" t="inlineStr">
        <is>
          <t>skill</t>
        </is>
      </c>
      <c r="G41" t="inlineStr">
        <is>
          <t>profession</t>
        </is>
      </c>
      <c r="H41" t="inlineStr">
        <is>
          <t>crafting</t>
        </is>
      </c>
      <c r="I41" t="inlineStr">
        <is>
          <t>3</t>
        </is>
      </c>
      <c r="J41">
        <f>IF(G41="","",IFERROR(IF(G41="infusing",IFERROR(LOOKUP(2,1/ISNUMBER(SEARCH(_lookup!$D$3:$D$4,H41)),_lookup!$E$3:$E$4),"INT"),VLOOKUP(G41,_lookup!$A$3:$B$14,2,FALSE)),""))</f>
        <v/>
      </c>
      <c r="K41">
        <f>IF(F41&lt;&gt;"weapon","",IF(G41="miscellaneous","1-4",IF(I41="","",IFERROR(VLOOKUP(I41&amp;"|"&amp;IF(LEFT(H41,2)="2H",2,1)&amp;"|"&amp;IF(G41="slashing",1,0),_lookup!$G$3:$H$18,2,FALSE),""))))</f>
        <v/>
      </c>
      <c r="L41">
        <f>IF(K41="","",IF(OR(G41="channeling",G41="infusing"),"Magical",IF(G41="blocking","Anti-Physical",IF(G41="warding","Anti-Magical","Physical"))))</f>
        <v/>
      </c>
      <c r="O41">
        <f>IF(F41&lt;&gt;"armor","","TBD")</f>
        <v/>
      </c>
      <c r="P41">
        <f>IF(O41="","",IF(OR(G41="channeling",G41="infusing"),"Magical",IF(G41="blocking","Anti-Physical",IF(G41="warding","Anti-Magical","Physical"))))</f>
        <v/>
      </c>
      <c r="S41" t="n">
        <v>800</v>
      </c>
      <c r="T41" t="inlineStr">
        <is>
          <t>Turns fibers into tier-specific light armor and warding weapons.</t>
        </is>
      </c>
      <c r="U41" t="inlineStr">
        <is>
          <t>What you make is weightless and turns magic aside like rain off a leaf. Few ever see such work, and fewer can afford it.</t>
        </is>
      </c>
      <c r="Y41" t="inlineStr">
        <is>
          <t>https://drive.google.com/uc?export=download&amp;id=10zkLgdxxOwcqsZxTXWZH19FWG35xxzSW</t>
        </is>
      </c>
    </row>
    <row r="42">
      <c r="A42" t="inlineStr">
        <is>
          <t>SK41</t>
        </is>
      </c>
      <c r="B42" t="inlineStr">
        <is>
          <t>item_template</t>
        </is>
      </c>
      <c r="C42" t="inlineStr">
        <is>
          <t>tile</t>
        </is>
      </c>
      <c r="D42" t="inlineStr">
        <is>
          <t>skills</t>
        </is>
      </c>
      <c r="E42" t="inlineStr">
        <is>
          <t>Novice Weaponsmithing</t>
        </is>
      </c>
      <c r="F42" t="inlineStr">
        <is>
          <t>skill</t>
        </is>
      </c>
      <c r="G42" t="inlineStr">
        <is>
          <t>profession</t>
        </is>
      </c>
      <c r="H42" t="inlineStr">
        <is>
          <t>crafting</t>
        </is>
      </c>
      <c r="I42" t="inlineStr">
        <is>
          <t>0</t>
        </is>
      </c>
      <c r="J42">
        <f>IF(G42="","",IFERROR(IF(G42="infusing",IFERROR(LOOKUP(2,1/ISNUMBER(SEARCH(_lookup!$D$3:$D$4,H42)),_lookup!$E$3:$E$4),"INT"),VLOOKUP(G42,_lookup!$A$3:$B$14,2,FALSE)),""))</f>
        <v/>
      </c>
      <c r="K42">
        <f>IF(F42&lt;&gt;"weapon","",IF(G42="miscellaneous","1-4",IF(I42="","",IFERROR(VLOOKUP(I42&amp;"|"&amp;IF(LEFT(H42,2)="2H",2,1)&amp;"|"&amp;IF(G42="slashing",1,0),_lookup!$G$3:$H$18,2,FALSE),""))))</f>
        <v/>
      </c>
      <c r="L42">
        <f>IF(K42="","",IF(OR(G42="channeling",G42="infusing"),"Magical",IF(G42="blocking","Anti-Physical",IF(G42="warding","Anti-Magical","Physical"))))</f>
        <v/>
      </c>
      <c r="O42">
        <f>IF(F42&lt;&gt;"armor","","TBD")</f>
        <v/>
      </c>
      <c r="P42">
        <f>IF(O42="","",IF(OR(G42="channeling",G42="infusing"),"Magical",IF(G42="blocking","Anti-Physical",IF(G42="warding","Anti-Magical","Physical"))))</f>
        <v/>
      </c>
      <c r="S42" t="n">
        <v>24</v>
      </c>
      <c r="T42" t="inlineStr">
        <is>
          <t>Turns ore and stone into tier-specific: (1) hacking, bludgeoning, slashing, and thrusting weapons; and (2) weapon stones.</t>
        </is>
      </c>
      <c r="U42" t="inlineStr">
        <is>
          <t>You can forge an edge that cuts and a haft that stays on. Both want attention after every serious use.</t>
        </is>
      </c>
      <c r="Y42" t="inlineStr">
        <is>
          <t>https://drive.google.com/uc?export=download&amp;id=1sbf3I56dvJOvtr8ioBlSL6USpsUjvUrN</t>
        </is>
      </c>
    </row>
    <row r="43">
      <c r="A43" t="inlineStr">
        <is>
          <t>SK42</t>
        </is>
      </c>
      <c r="B43" t="inlineStr">
        <is>
          <t>item_template</t>
        </is>
      </c>
      <c r="C43" t="inlineStr">
        <is>
          <t>tile</t>
        </is>
      </c>
      <c r="D43" t="inlineStr">
        <is>
          <t>skills</t>
        </is>
      </c>
      <c r="E43" t="inlineStr">
        <is>
          <t>Journeyman Weaponsmithing</t>
        </is>
      </c>
      <c r="F43" t="inlineStr">
        <is>
          <t>skill</t>
        </is>
      </c>
      <c r="G43" t="inlineStr">
        <is>
          <t>profession</t>
        </is>
      </c>
      <c r="H43" t="inlineStr">
        <is>
          <t>crafting</t>
        </is>
      </c>
      <c r="I43" t="inlineStr">
        <is>
          <t>1</t>
        </is>
      </c>
      <c r="J43">
        <f>IF(G43="","",IFERROR(IF(G43="infusing",IFERROR(LOOKUP(2,1/ISNUMBER(SEARCH(_lookup!$D$3:$D$4,H43)),_lookup!$E$3:$E$4),"INT"),VLOOKUP(G43,_lookup!$A$3:$B$14,2,FALSE)),""))</f>
        <v/>
      </c>
      <c r="K43">
        <f>IF(F43&lt;&gt;"weapon","",IF(G43="miscellaneous","1-4",IF(I43="","",IFERROR(VLOOKUP(I43&amp;"|"&amp;IF(LEFT(H43,2)="2H",2,1)&amp;"|"&amp;IF(G43="slashing",1,0),_lookup!$G$3:$H$18,2,FALSE),""))))</f>
        <v/>
      </c>
      <c r="L43">
        <f>IF(K43="","",IF(OR(G43="channeling",G43="infusing"),"Magical",IF(G43="blocking","Anti-Physical",IF(G43="warding","Anti-Magical","Physical"))))</f>
        <v/>
      </c>
      <c r="O43">
        <f>IF(F43&lt;&gt;"armor","","TBD")</f>
        <v/>
      </c>
      <c r="P43">
        <f>IF(O43="","",IF(OR(G43="channeling",G43="infusing"),"Magical",IF(G43="blocking","Anti-Physical",IF(G43="warding","Anti-Magical","Physical"))))</f>
        <v/>
      </c>
      <c r="S43" t="n">
        <v>72</v>
      </c>
      <c r="T43" t="inlineStr">
        <is>
          <t>Turns ore and stone into tier-specific: (1) hacking, bludgeoning, slashing, and thrusting weapons; and (2) weapon stones.</t>
        </is>
      </c>
      <c r="U43" t="inlineStr">
        <is>
          <t>Your blades hold their edge through a fight and your hafts do not shift. The balance is honest.</t>
        </is>
      </c>
      <c r="Y43" t="inlineStr">
        <is>
          <t>https://drive.google.com/uc?export=download&amp;id=1sbf3I56dvJOvtr8ioBlSL6USpsUjvUrN</t>
        </is>
      </c>
    </row>
    <row r="44">
      <c r="A44" t="inlineStr">
        <is>
          <t>SK43</t>
        </is>
      </c>
      <c r="B44" t="inlineStr">
        <is>
          <t>item_template</t>
        </is>
      </c>
      <c r="C44" t="inlineStr">
        <is>
          <t>tile</t>
        </is>
      </c>
      <c r="D44" t="inlineStr">
        <is>
          <t>skills</t>
        </is>
      </c>
      <c r="E44" t="inlineStr">
        <is>
          <t>Artisan Weaponsmithing</t>
        </is>
      </c>
      <c r="F44" t="inlineStr">
        <is>
          <t>skill</t>
        </is>
      </c>
      <c r="G44" t="inlineStr">
        <is>
          <t>profession</t>
        </is>
      </c>
      <c r="H44" t="inlineStr">
        <is>
          <t>crafting</t>
        </is>
      </c>
      <c r="I44" t="inlineStr">
        <is>
          <t>2</t>
        </is>
      </c>
      <c r="J44">
        <f>IF(G44="","",IFERROR(IF(G44="infusing",IFERROR(LOOKUP(2,1/ISNUMBER(SEARCH(_lookup!$D$3:$D$4,H44)),_lookup!$E$3:$E$4),"INT"),VLOOKUP(G44,_lookup!$A$3:$B$14,2,FALSE)),""))</f>
        <v/>
      </c>
      <c r="K44">
        <f>IF(F44&lt;&gt;"weapon","",IF(G44="miscellaneous","1-4",IF(I44="","",IFERROR(VLOOKUP(I44&amp;"|"&amp;IF(LEFT(H44,2)="2H",2,1)&amp;"|"&amp;IF(G44="slashing",1,0),_lookup!$G$3:$H$18,2,FALSE),""))))</f>
        <v/>
      </c>
      <c r="L44">
        <f>IF(K44="","",IF(OR(G44="channeling",G44="infusing"),"Magical",IF(G44="blocking","Anti-Physical",IF(G44="warding","Anti-Magical","Physical"))))</f>
        <v/>
      </c>
      <c r="O44">
        <f>IF(F44&lt;&gt;"armor","","TBD")</f>
        <v/>
      </c>
      <c r="P44">
        <f>IF(O44="","",IF(OR(G44="channeling",G44="infusing"),"Magical",IF(G44="blocking","Anti-Physical",IF(G44="warding","Anti-Magical","Physical"))))</f>
        <v/>
      </c>
      <c r="S44" t="n">
        <v>288</v>
      </c>
      <c r="T44" t="inlineStr">
        <is>
          <t>Turns ore and stone into tier-specific: (1) hacking, bludgeoning, slashing, and thrusting weapons; and (2) weapon stones.</t>
        </is>
      </c>
      <c r="U44" t="inlineStr">
        <is>
          <t>You forge for the hand that will hold it, and the weapon comes back to guard almost on its own.</t>
        </is>
      </c>
      <c r="Y44" t="inlineStr">
        <is>
          <t>https://drive.google.com/uc?export=download&amp;id=1sbf3I56dvJOvtr8ioBlSL6USpsUjvUrN</t>
        </is>
      </c>
    </row>
    <row r="45">
      <c r="A45" t="inlineStr">
        <is>
          <t>SK44</t>
        </is>
      </c>
      <c r="B45" t="inlineStr">
        <is>
          <t>item_template</t>
        </is>
      </c>
      <c r="C45" t="inlineStr">
        <is>
          <t>tile</t>
        </is>
      </c>
      <c r="D45" t="inlineStr">
        <is>
          <t>skills</t>
        </is>
      </c>
      <c r="E45" t="inlineStr">
        <is>
          <t>Master Weaponsmithing</t>
        </is>
      </c>
      <c r="F45" t="inlineStr">
        <is>
          <t>skill</t>
        </is>
      </c>
      <c r="G45" t="inlineStr">
        <is>
          <t>profession</t>
        </is>
      </c>
      <c r="H45" t="inlineStr">
        <is>
          <t>crafting</t>
        </is>
      </c>
      <c r="I45" t="inlineStr">
        <is>
          <t>3</t>
        </is>
      </c>
      <c r="J45">
        <f>IF(G45="","",IFERROR(IF(G45="infusing",IFERROR(LOOKUP(2,1/ISNUMBER(SEARCH(_lookup!$D$3:$D$4,H45)),_lookup!$E$3:$E$4),"INT"),VLOOKUP(G45,_lookup!$A$3:$B$14,2,FALSE)),""))</f>
        <v/>
      </c>
      <c r="K45">
        <f>IF(F45&lt;&gt;"weapon","",IF(G45="miscellaneous","1-4",IF(I45="","",IFERROR(VLOOKUP(I45&amp;"|"&amp;IF(LEFT(H45,2)="2H",2,1)&amp;"|"&amp;IF(G45="slashing",1,0),_lookup!$G$3:$H$18,2,FALSE),""))))</f>
        <v/>
      </c>
      <c r="L45">
        <f>IF(K45="","",IF(OR(G45="channeling",G45="infusing"),"Magical",IF(G45="blocking","Anti-Physical",IF(G45="warding","Anti-Magical","Physical"))))</f>
        <v/>
      </c>
      <c r="O45">
        <f>IF(F45&lt;&gt;"armor","","TBD")</f>
        <v/>
      </c>
      <c r="P45">
        <f>IF(O45="","",IF(OR(G45="channeling",G45="infusing"),"Magical",IF(G45="blocking","Anti-Physical",IF(G45="warding","Anti-Magical","Physical"))))</f>
        <v/>
      </c>
      <c r="S45" t="n">
        <v>800</v>
      </c>
      <c r="T45" t="inlineStr">
        <is>
          <t>Turns ore and stone into tier-specific: (1) hacking, bludgeoning, slashing, and thrusting weapons; and (2) weapon stones.</t>
        </is>
      </c>
      <c r="U45" t="inlineStr">
        <is>
          <t>Your work is named, and the names outlast the bearers. There are few smiths in the Woodland who can do what you do.</t>
        </is>
      </c>
      <c r="Y45" t="inlineStr">
        <is>
          <t>https://drive.google.com/uc?export=download&amp;id=1sbf3I56dvJOvtr8ioBlSL6USpsUjvUrN</t>
        </is>
      </c>
    </row>
    <row r="46">
      <c r="A46" t="inlineStr">
        <is>
          <t>SK45</t>
        </is>
      </c>
      <c r="B46" t="inlineStr">
        <is>
          <t>item_template</t>
        </is>
      </c>
      <c r="C46" t="inlineStr">
        <is>
          <t>tile</t>
        </is>
      </c>
      <c r="D46" t="inlineStr">
        <is>
          <t>skills</t>
        </is>
      </c>
      <c r="E46" t="inlineStr">
        <is>
          <t>Novice Woodworking</t>
        </is>
      </c>
      <c r="F46" t="inlineStr">
        <is>
          <t>skill</t>
        </is>
      </c>
      <c r="G46" t="inlineStr">
        <is>
          <t>profession</t>
        </is>
      </c>
      <c r="H46" t="inlineStr">
        <is>
          <t>crafting</t>
        </is>
      </c>
      <c r="I46" t="inlineStr">
        <is>
          <t>0</t>
        </is>
      </c>
      <c r="J46">
        <f>IF(G46="","",IFERROR(IF(G46="infusing",IFERROR(LOOKUP(2,1/ISNUMBER(SEARCH(_lookup!$D$3:$D$4,H46)),_lookup!$E$3:$E$4),"INT"),VLOOKUP(G46,_lookup!$A$3:$B$14,2,FALSE)),""))</f>
        <v/>
      </c>
      <c r="K46">
        <f>IF(F46&lt;&gt;"weapon","",IF(G46="miscellaneous","1-4",IF(I46="","",IFERROR(VLOOKUP(I46&amp;"|"&amp;IF(LEFT(H46,2)="2H",2,1)&amp;"|"&amp;IF(G46="slashing",1,0),_lookup!$G$3:$H$18,2,FALSE),""))))</f>
        <v/>
      </c>
      <c r="L46">
        <f>IF(K46="","",IF(OR(G46="channeling",G46="infusing"),"Magical",IF(G46="blocking","Anti-Physical",IF(G46="warding","Anti-Magical","Physical"))))</f>
        <v/>
      </c>
      <c r="O46">
        <f>IF(F46&lt;&gt;"armor","","TBD")</f>
        <v/>
      </c>
      <c r="P46">
        <f>IF(O46="","",IF(OR(G46="channeling",G46="infusing"),"Magical",IF(G46="blocking","Anti-Physical",IF(G46="warding","Anti-Magical","Physical"))))</f>
        <v/>
      </c>
      <c r="S46" t="n">
        <v>24</v>
      </c>
      <c r="T46" t="inlineStr">
        <is>
          <t>Turns wood into tier-specific projectile and channeling weapons.</t>
        </is>
      </c>
      <c r="U46" t="inlineStr">
        <is>
          <t>You can shape a stave and string it without splitting the wood. The draw is uneven and the range is short.</t>
        </is>
      </c>
      <c r="Y46" t="inlineStr">
        <is>
          <t>https://drive.google.com/uc?export=download&amp;id=1ky-Jx_5IVL7rl7GmSU8lNpS6_9ARfSBp</t>
        </is>
      </c>
    </row>
    <row r="47">
      <c r="A47" t="inlineStr">
        <is>
          <t>SK46</t>
        </is>
      </c>
      <c r="B47" t="inlineStr">
        <is>
          <t>item_template</t>
        </is>
      </c>
      <c r="C47" t="inlineStr">
        <is>
          <t>tile</t>
        </is>
      </c>
      <c r="D47" t="inlineStr">
        <is>
          <t>skills</t>
        </is>
      </c>
      <c r="E47" t="inlineStr">
        <is>
          <t>Journeyman Woodworking</t>
        </is>
      </c>
      <c r="F47" t="inlineStr">
        <is>
          <t>skill</t>
        </is>
      </c>
      <c r="G47" t="inlineStr">
        <is>
          <t>profession</t>
        </is>
      </c>
      <c r="H47" t="inlineStr">
        <is>
          <t>crafting</t>
        </is>
      </c>
      <c r="I47" t="inlineStr">
        <is>
          <t>1</t>
        </is>
      </c>
      <c r="J47">
        <f>IF(G47="","",IFERROR(IF(G47="infusing",IFERROR(LOOKUP(2,1/ISNUMBER(SEARCH(_lookup!$D$3:$D$4,H47)),_lookup!$E$3:$E$4),"INT"),VLOOKUP(G47,_lookup!$A$3:$B$14,2,FALSE)),""))</f>
        <v/>
      </c>
      <c r="K47">
        <f>IF(F47&lt;&gt;"weapon","",IF(G47="miscellaneous","1-4",IF(I47="","",IFERROR(VLOOKUP(I47&amp;"|"&amp;IF(LEFT(H47,2)="2H",2,1)&amp;"|"&amp;IF(G47="slashing",1,0),_lookup!$G$3:$H$18,2,FALSE),""))))</f>
        <v/>
      </c>
      <c r="L47">
        <f>IF(K47="","",IF(OR(G47="channeling",G47="infusing"),"Magical",IF(G47="blocking","Anti-Physical",IF(G47="warding","Anti-Magical","Physical"))))</f>
        <v/>
      </c>
      <c r="O47">
        <f>IF(F47&lt;&gt;"armor","","TBD")</f>
        <v/>
      </c>
      <c r="P47">
        <f>IF(O47="","",IF(OR(G47="channeling",G47="infusing"),"Magical",IF(G47="blocking","Anti-Physical",IF(G47="warding","Anti-Magical","Physical"))))</f>
        <v/>
      </c>
      <c r="S47" t="n">
        <v>72</v>
      </c>
      <c r="T47" t="inlineStr">
        <is>
          <t>Turns wood into tier-specific projectile and channeling weapons.</t>
        </is>
      </c>
      <c r="U47" t="inlineStr">
        <is>
          <t>You tiller a limb evenly and your staves take a charge without warping. The shot goes where it is pointed.</t>
        </is>
      </c>
      <c r="Y47" t="inlineStr">
        <is>
          <t>https://drive.google.com/uc?export=download&amp;id=1ky-Jx_5IVL7rl7GmSU8lNpS6_9ARfSBp</t>
        </is>
      </c>
    </row>
    <row r="48">
      <c r="A48" t="inlineStr">
        <is>
          <t>SK47</t>
        </is>
      </c>
      <c r="B48" t="inlineStr">
        <is>
          <t>item_template</t>
        </is>
      </c>
      <c r="C48" t="inlineStr">
        <is>
          <t>tile</t>
        </is>
      </c>
      <c r="D48" t="inlineStr">
        <is>
          <t>skills</t>
        </is>
      </c>
      <c r="E48" t="inlineStr">
        <is>
          <t>Artisan Woodworking</t>
        </is>
      </c>
      <c r="F48" t="inlineStr">
        <is>
          <t>skill</t>
        </is>
      </c>
      <c r="G48" t="inlineStr">
        <is>
          <t>profession</t>
        </is>
      </c>
      <c r="H48" t="inlineStr">
        <is>
          <t>crafting</t>
        </is>
      </c>
      <c r="I48" t="inlineStr">
        <is>
          <t>2</t>
        </is>
      </c>
      <c r="J48">
        <f>IF(G48="","",IFERROR(IF(G48="infusing",IFERROR(LOOKUP(2,1/ISNUMBER(SEARCH(_lookup!$D$3:$D$4,H48)),_lookup!$E$3:$E$4),"INT"),VLOOKUP(G48,_lookup!$A$3:$B$14,2,FALSE)),""))</f>
        <v/>
      </c>
      <c r="K48">
        <f>IF(F48&lt;&gt;"weapon","",IF(G48="miscellaneous","1-4",IF(I48="","",IFERROR(VLOOKUP(I48&amp;"|"&amp;IF(LEFT(H48,2)="2H",2,1)&amp;"|"&amp;IF(G48="slashing",1,0),_lookup!$G$3:$H$18,2,FALSE),""))))</f>
        <v/>
      </c>
      <c r="L48">
        <f>IF(K48="","",IF(OR(G48="channeling",G48="infusing"),"Magical",IF(G48="blocking","Anti-Physical",IF(G48="warding","Anti-Magical","Physical"))))</f>
        <v/>
      </c>
      <c r="O48">
        <f>IF(F48&lt;&gt;"armor","","TBD")</f>
        <v/>
      </c>
      <c r="P48">
        <f>IF(O48="","",IF(OR(G48="channeling",G48="infusing"),"Magical",IF(G48="blocking","Anti-Physical",IF(G48="warding","Anti-Magical","Physical"))))</f>
        <v/>
      </c>
      <c r="S48" t="n">
        <v>288</v>
      </c>
      <c r="T48" t="inlineStr">
        <is>
          <t>Turns wood into tier-specific projectile and channeling weapons.</t>
        </is>
      </c>
      <c r="U48" t="inlineStr">
        <is>
          <t>You match the wood to the purpose before the first cut, and what you build outshoots weapons made of better stuff.</t>
        </is>
      </c>
      <c r="Y48" t="inlineStr">
        <is>
          <t>https://drive.google.com/uc?export=download&amp;id=1ky-Jx_5IVL7rl7GmSU8lNpS6_9ARfSBp</t>
        </is>
      </c>
    </row>
    <row r="49">
      <c r="A49" t="inlineStr">
        <is>
          <t>SK48</t>
        </is>
      </c>
      <c r="B49" t="inlineStr">
        <is>
          <t>item_template</t>
        </is>
      </c>
      <c r="C49" t="inlineStr">
        <is>
          <t>tile</t>
        </is>
      </c>
      <c r="D49" t="inlineStr">
        <is>
          <t>skills</t>
        </is>
      </c>
      <c r="E49" t="inlineStr">
        <is>
          <t>Master Woodworking</t>
        </is>
      </c>
      <c r="F49" t="inlineStr">
        <is>
          <t>skill</t>
        </is>
      </c>
      <c r="G49" t="inlineStr">
        <is>
          <t>profession</t>
        </is>
      </c>
      <c r="H49" t="inlineStr">
        <is>
          <t>crafting</t>
        </is>
      </c>
      <c r="I49" t="inlineStr">
        <is>
          <t>3</t>
        </is>
      </c>
      <c r="J49">
        <f>IF(G49="","",IFERROR(IF(G49="infusing",IFERROR(LOOKUP(2,1/ISNUMBER(SEARCH(_lookup!$D$3:$D$4,H49)),_lookup!$E$3:$E$4),"INT"),VLOOKUP(G49,_lookup!$A$3:$B$14,2,FALSE)),""))</f>
        <v/>
      </c>
      <c r="K49">
        <f>IF(F49&lt;&gt;"weapon","",IF(G49="miscellaneous","1-4",IF(I49="","",IFERROR(VLOOKUP(I49&amp;"|"&amp;IF(LEFT(H49,2)="2H",2,1)&amp;"|"&amp;IF(G49="slashing",1,0),_lookup!$G$3:$H$18,2,FALSE),""))))</f>
        <v/>
      </c>
      <c r="L49">
        <f>IF(K49="","",IF(OR(G49="channeling",G49="infusing"),"Magical",IF(G49="blocking","Anti-Physical",IF(G49="warding","Anti-Magical","Physical"))))</f>
        <v/>
      </c>
      <c r="O49">
        <f>IF(F49&lt;&gt;"armor","","TBD")</f>
        <v/>
      </c>
      <c r="P49">
        <f>IF(O49="","",IF(OR(G49="channeling",G49="infusing"),"Magical",IF(G49="blocking","Anti-Physical",IF(G49="warding","Anti-Magical","Physical"))))</f>
        <v/>
      </c>
      <c r="S49" t="n">
        <v>800</v>
      </c>
      <c r="T49" t="inlineStr">
        <is>
          <t>Turns wood into tier-specific projectile and channeling weapons.</t>
        </is>
      </c>
      <c r="U49" t="inlineStr">
        <is>
          <t>Your bows are spoken of in other warrens. The limbs are thin as a reed and throw harder than anything that size has a right to.</t>
        </is>
      </c>
      <c r="Y49" t="inlineStr">
        <is>
          <t>https://drive.google.com/uc?export=download&amp;id=1ky-Jx_5IVL7rl7GmSU8lNpS6_9ARfSBp</t>
        </is>
      </c>
    </row>
    <row r="50">
      <c r="J50">
        <f>IF(G50="","",IFERROR(IF(G50="infusing",IFERROR(LOOKUP(2,1/ISNUMBER(SEARCH(_lookup!$D$3:$D$4,H50)),_lookup!$E$3:$E$4),"INT"),VLOOKUP(G50,_lookup!$A$3:$B$14,2,FALSE)),""))</f>
        <v/>
      </c>
      <c r="K50">
        <f>IF(F50&lt;&gt;"weapon","",IF(G50="miscellaneous","1-4",IF(I50="","",IFERROR(VLOOKUP(I50&amp;"|"&amp;IF(LEFT(H50,2)="2H",2,1)&amp;"|"&amp;IF(G50="slashing",1,0),_lookup!$G$3:$H$18,2,FALSE),""))))</f>
        <v/>
      </c>
      <c r="L50">
        <f>IF(K50="","",IF(OR(G50="channeling",G50="infusing"),"Magical",IF(G50="blocking","Anti-Physical",IF(G50="warding","Anti-Magical","Physical"))))</f>
        <v/>
      </c>
      <c r="O50">
        <f>IF(F50&lt;&gt;"armor","","TBD")</f>
        <v/>
      </c>
      <c r="P50">
        <f>IF(O50="","",IF(OR(G50="channeling",G50="infusing"),"Magical",IF(G50="blocking","Anti-Physical",IF(G50="warding","Anti-Magical","Physical"))))</f>
        <v/>
      </c>
    </row>
    <row r="51">
      <c r="J51">
        <f>IF(G51="","",IFERROR(IF(G51="infusing",IFERROR(LOOKUP(2,1/ISNUMBER(SEARCH(_lookup!$D$3:$D$4,H51)),_lookup!$E$3:$E$4),"INT"),VLOOKUP(G51,_lookup!$A$3:$B$14,2,FALSE)),""))</f>
        <v/>
      </c>
      <c r="K51">
        <f>IF(F51&lt;&gt;"weapon","",IF(G51="miscellaneous","1-4",IF(I51="","",IFERROR(VLOOKUP(I51&amp;"|"&amp;IF(LEFT(H51,2)="2H",2,1)&amp;"|"&amp;IF(G51="slashing",1,0),_lookup!$G$3:$H$18,2,FALSE),""))))</f>
        <v/>
      </c>
      <c r="L51">
        <f>IF(K51="","",IF(OR(G51="channeling",G51="infusing"),"Magical",IF(G51="blocking","Anti-Physical",IF(G51="warding","Anti-Magical","Physical"))))</f>
        <v/>
      </c>
      <c r="O51">
        <f>IF(F51&lt;&gt;"armor","","TBD")</f>
        <v/>
      </c>
      <c r="P51">
        <f>IF(O51="","",IF(OR(G51="channeling",G51="infusing"),"Magical",IF(G51="blocking","Anti-Physical",IF(G51="warding","Anti-Magical","Physical"))))</f>
        <v/>
      </c>
    </row>
    <row r="52">
      <c r="J52">
        <f>IF(G52="","",IFERROR(IF(G52="infusing",IFERROR(LOOKUP(2,1/ISNUMBER(SEARCH(_lookup!$D$3:$D$4,H52)),_lookup!$E$3:$E$4),"INT"),VLOOKUP(G52,_lookup!$A$3:$B$14,2,FALSE)),""))</f>
        <v/>
      </c>
      <c r="K52">
        <f>IF(F52&lt;&gt;"weapon","",IF(G52="miscellaneous","1-4",IF(I52="","",IFERROR(VLOOKUP(I52&amp;"|"&amp;IF(LEFT(H52,2)="2H",2,1)&amp;"|"&amp;IF(G52="slashing",1,0),_lookup!$G$3:$H$18,2,FALSE),""))))</f>
        <v/>
      </c>
      <c r="L52">
        <f>IF(K52="","",IF(OR(G52="channeling",G52="infusing"),"Magical",IF(G52="blocking","Anti-Physical",IF(G52="warding","Anti-Magical","Physical"))))</f>
        <v/>
      </c>
      <c r="O52">
        <f>IF(F52&lt;&gt;"armor","","TBD")</f>
        <v/>
      </c>
      <c r="P52">
        <f>IF(O52="","",IF(OR(G52="channeling",G52="infusing"),"Magical",IF(G52="blocking","Anti-Physical",IF(G52="warding","Anti-Magical","Physical"))))</f>
        <v/>
      </c>
    </row>
    <row r="53">
      <c r="J53">
        <f>IF(G53="","",IFERROR(IF(G53="infusing",IFERROR(LOOKUP(2,1/ISNUMBER(SEARCH(_lookup!$D$3:$D$4,H53)),_lookup!$E$3:$E$4),"INT"),VLOOKUP(G53,_lookup!$A$3:$B$14,2,FALSE)),""))</f>
        <v/>
      </c>
      <c r="K53">
        <f>IF(F53&lt;&gt;"weapon","",IF(G53="miscellaneous","1-4",IF(I53="","",IFERROR(VLOOKUP(I53&amp;"|"&amp;IF(LEFT(H53,2)="2H",2,1)&amp;"|"&amp;IF(G53="slashing",1,0),_lookup!$G$3:$H$18,2,FALSE),""))))</f>
        <v/>
      </c>
      <c r="L53">
        <f>IF(K53="","",IF(OR(G53="channeling",G53="infusing"),"Magical",IF(G53="blocking","Anti-Physical",IF(G53="warding","Anti-Magical","Physical"))))</f>
        <v/>
      </c>
      <c r="O53">
        <f>IF(F53&lt;&gt;"armor","","TBD")</f>
        <v/>
      </c>
      <c r="P53">
        <f>IF(O53="","",IF(OR(G53="channeling",G53="infusing"),"Magical",IF(G53="blocking","Anti-Physical",IF(G53="warding","Anti-Magical","Physical"))))</f>
        <v/>
      </c>
    </row>
    <row r="54">
      <c r="J54">
        <f>IF(G54="","",IFERROR(IF(G54="infusing",IFERROR(LOOKUP(2,1/ISNUMBER(SEARCH(_lookup!$D$3:$D$4,H54)),_lookup!$E$3:$E$4),"INT"),VLOOKUP(G54,_lookup!$A$3:$B$14,2,FALSE)),""))</f>
        <v/>
      </c>
      <c r="K54">
        <f>IF(F54&lt;&gt;"weapon","",IF(G54="miscellaneous","1-4",IF(I54="","",IFERROR(VLOOKUP(I54&amp;"|"&amp;IF(LEFT(H54,2)="2H",2,1)&amp;"|"&amp;IF(G54="slashing",1,0),_lookup!$G$3:$H$18,2,FALSE),""))))</f>
        <v/>
      </c>
      <c r="L54">
        <f>IF(K54="","",IF(OR(G54="channeling",G54="infusing"),"Magical",IF(G54="blocking","Anti-Physical",IF(G54="warding","Anti-Magical","Physical"))))</f>
        <v/>
      </c>
      <c r="O54">
        <f>IF(F54&lt;&gt;"armor","","TBD")</f>
        <v/>
      </c>
      <c r="P54">
        <f>IF(O54="","",IF(OR(G54="channeling",G54="infusing"),"Magical",IF(G54="blocking","Anti-Physical",IF(G54="warding","Anti-Magical","Physical"))))</f>
        <v/>
      </c>
    </row>
    <row r="55">
      <c r="J55">
        <f>IF(G55="","",IFERROR(IF(G55="infusing",IFERROR(LOOKUP(2,1/ISNUMBER(SEARCH(_lookup!$D$3:$D$4,H55)),_lookup!$E$3:$E$4),"INT"),VLOOKUP(G55,_lookup!$A$3:$B$14,2,FALSE)),""))</f>
        <v/>
      </c>
      <c r="K55">
        <f>IF(F55&lt;&gt;"weapon","",IF(G55="miscellaneous","1-4",IF(I55="","",IFERROR(VLOOKUP(I55&amp;"|"&amp;IF(LEFT(H55,2)="2H",2,1)&amp;"|"&amp;IF(G55="slashing",1,0),_lookup!$G$3:$H$18,2,FALSE),""))))</f>
        <v/>
      </c>
      <c r="L55">
        <f>IF(K55="","",IF(OR(G55="channeling",G55="infusing"),"Magical",IF(G55="blocking","Anti-Physical",IF(G55="warding","Anti-Magical","Physical"))))</f>
        <v/>
      </c>
      <c r="O55">
        <f>IF(F55&lt;&gt;"armor","","TBD")</f>
        <v/>
      </c>
      <c r="P55">
        <f>IF(O55="","",IF(OR(G55="channeling",G55="infusing"),"Magical",IF(G55="blocking","Anti-Physical",IF(G55="warding","Anti-Magical","Physical"))))</f>
        <v/>
      </c>
    </row>
    <row r="56">
      <c r="J56">
        <f>IF(G56="","",IFERROR(IF(G56="infusing",IFERROR(LOOKUP(2,1/ISNUMBER(SEARCH(_lookup!$D$3:$D$4,H56)),_lookup!$E$3:$E$4),"INT"),VLOOKUP(G56,_lookup!$A$3:$B$14,2,FALSE)),""))</f>
        <v/>
      </c>
      <c r="K56">
        <f>IF(F56&lt;&gt;"weapon","",IF(G56="miscellaneous","1-4",IF(I56="","",IFERROR(VLOOKUP(I56&amp;"|"&amp;IF(LEFT(H56,2)="2H",2,1)&amp;"|"&amp;IF(G56="slashing",1,0),_lookup!$G$3:$H$18,2,FALSE),""))))</f>
        <v/>
      </c>
      <c r="L56">
        <f>IF(K56="","",IF(OR(G56="channeling",G56="infusing"),"Magical",IF(G56="blocking","Anti-Physical",IF(G56="warding","Anti-Magical","Physical"))))</f>
        <v/>
      </c>
      <c r="O56">
        <f>IF(F56&lt;&gt;"armor","","TBD")</f>
        <v/>
      </c>
      <c r="P56">
        <f>IF(O56="","",IF(OR(G56="channeling",G56="infusing"),"Magical",IF(G56="blocking","Anti-Physical",IF(G56="warding","Anti-Magical","Physical"))))</f>
        <v/>
      </c>
    </row>
    <row r="57">
      <c r="J57">
        <f>IF(G57="","",IFERROR(IF(G57="infusing",IFERROR(LOOKUP(2,1/ISNUMBER(SEARCH(_lookup!$D$3:$D$4,H57)),_lookup!$E$3:$E$4),"INT"),VLOOKUP(G57,_lookup!$A$3:$B$14,2,FALSE)),""))</f>
        <v/>
      </c>
      <c r="K57">
        <f>IF(F57&lt;&gt;"weapon","",IF(G57="miscellaneous","1-4",IF(I57="","",IFERROR(VLOOKUP(I57&amp;"|"&amp;IF(LEFT(H57,2)="2H",2,1)&amp;"|"&amp;IF(G57="slashing",1,0),_lookup!$G$3:$H$18,2,FALSE),""))))</f>
        <v/>
      </c>
      <c r="L57">
        <f>IF(K57="","",IF(OR(G57="channeling",G57="infusing"),"Magical",IF(G57="blocking","Anti-Physical",IF(G57="warding","Anti-Magical","Physical"))))</f>
        <v/>
      </c>
      <c r="O57">
        <f>IF(F57&lt;&gt;"armor","","TBD")</f>
        <v/>
      </c>
      <c r="P57">
        <f>IF(O57="","",IF(OR(G57="channeling",G57="infusing"),"Magical",IF(G57="blocking","Anti-Physical",IF(G57="warding","Anti-Magical","Physical"))))</f>
        <v/>
      </c>
    </row>
    <row r="58">
      <c r="J58">
        <f>IF(G58="","",IFERROR(IF(G58="infusing",IFERROR(LOOKUP(2,1/ISNUMBER(SEARCH(_lookup!$D$3:$D$4,H58)),_lookup!$E$3:$E$4),"INT"),VLOOKUP(G58,_lookup!$A$3:$B$14,2,FALSE)),""))</f>
        <v/>
      </c>
      <c r="K58">
        <f>IF(F58&lt;&gt;"weapon","",IF(G58="miscellaneous","1-4",IF(I58="","",IFERROR(VLOOKUP(I58&amp;"|"&amp;IF(LEFT(H58,2)="2H",2,1)&amp;"|"&amp;IF(G58="slashing",1,0),_lookup!$G$3:$H$18,2,FALSE),""))))</f>
        <v/>
      </c>
      <c r="L58">
        <f>IF(K58="","",IF(OR(G58="channeling",G58="infusing"),"Magical",IF(G58="blocking","Anti-Physical",IF(G58="warding","Anti-Magical","Physical"))))</f>
        <v/>
      </c>
      <c r="O58">
        <f>IF(F58&lt;&gt;"armor","","TBD")</f>
        <v/>
      </c>
      <c r="P58">
        <f>IF(O58="","",IF(OR(G58="channeling",G58="infusing"),"Magical",IF(G58="blocking","Anti-Physical",IF(G58="warding","Anti-Magical","Physical"))))</f>
        <v/>
      </c>
    </row>
    <row r="59">
      <c r="J59">
        <f>IF(G59="","",IFERROR(IF(G59="infusing",IFERROR(LOOKUP(2,1/ISNUMBER(SEARCH(_lookup!$D$3:$D$4,H59)),_lookup!$E$3:$E$4),"INT"),VLOOKUP(G59,_lookup!$A$3:$B$14,2,FALSE)),""))</f>
        <v/>
      </c>
      <c r="K59">
        <f>IF(F59&lt;&gt;"weapon","",IF(G59="miscellaneous","1-4",IF(I59="","",IFERROR(VLOOKUP(I59&amp;"|"&amp;IF(LEFT(H59,2)="2H",2,1)&amp;"|"&amp;IF(G59="slashing",1,0),_lookup!$G$3:$H$18,2,FALSE),""))))</f>
        <v/>
      </c>
      <c r="L59">
        <f>IF(K59="","",IF(OR(G59="channeling",G59="infusing"),"Magical",IF(G59="blocking","Anti-Physical",IF(G59="warding","Anti-Magical","Physical"))))</f>
        <v/>
      </c>
      <c r="O59">
        <f>IF(F59&lt;&gt;"armor","","TBD")</f>
        <v/>
      </c>
      <c r="P59">
        <f>IF(O59="","",IF(OR(G59="channeling",G59="infusing"),"Magical",IF(G59="blocking","Anti-Physical",IF(G59="warding","Anti-Magical","Physical"))))</f>
        <v/>
      </c>
    </row>
    <row r="60">
      <c r="J60">
        <f>IF(G60="","",IFERROR(IF(G60="infusing",IFERROR(LOOKUP(2,1/ISNUMBER(SEARCH(_lookup!$D$3:$D$4,H60)),_lookup!$E$3:$E$4),"INT"),VLOOKUP(G60,_lookup!$A$3:$B$14,2,FALSE)),""))</f>
        <v/>
      </c>
      <c r="K60">
        <f>IF(F60&lt;&gt;"weapon","",IF(G60="miscellaneous","1-4",IF(I60="","",IFERROR(VLOOKUP(I60&amp;"|"&amp;IF(LEFT(H60,2)="2H",2,1)&amp;"|"&amp;IF(G60="slashing",1,0),_lookup!$G$3:$H$18,2,FALSE),""))))</f>
        <v/>
      </c>
      <c r="L60">
        <f>IF(K60="","",IF(OR(G60="channeling",G60="infusing"),"Magical",IF(G60="blocking","Anti-Physical",IF(G60="warding","Anti-Magical","Physical"))))</f>
        <v/>
      </c>
      <c r="O60">
        <f>IF(F60&lt;&gt;"armor","","TBD")</f>
        <v/>
      </c>
      <c r="P60">
        <f>IF(O60="","",IF(OR(G60="channeling",G60="infusing"),"Magical",IF(G60="blocking","Anti-Physical",IF(G60="warding","Anti-Magical","Physical"))))</f>
        <v/>
      </c>
    </row>
    <row r="61">
      <c r="J61">
        <f>IF(G61="","",IFERROR(IF(G61="infusing",IFERROR(LOOKUP(2,1/ISNUMBER(SEARCH(_lookup!$D$3:$D$4,H61)),_lookup!$E$3:$E$4),"INT"),VLOOKUP(G61,_lookup!$A$3:$B$14,2,FALSE)),""))</f>
        <v/>
      </c>
      <c r="K61">
        <f>IF(F61&lt;&gt;"weapon","",IF(G61="miscellaneous","1-4",IF(I61="","",IFERROR(VLOOKUP(I61&amp;"|"&amp;IF(LEFT(H61,2)="2H",2,1)&amp;"|"&amp;IF(G61="slashing",1,0),_lookup!$G$3:$H$18,2,FALSE),""))))</f>
        <v/>
      </c>
      <c r="L61">
        <f>IF(K61="","",IF(OR(G61="channeling",G61="infusing"),"Magical",IF(G61="blocking","Anti-Physical",IF(G61="warding","Anti-Magical","Physical"))))</f>
        <v/>
      </c>
      <c r="O61">
        <f>IF(F61&lt;&gt;"armor","","TBD")</f>
        <v/>
      </c>
      <c r="P61">
        <f>IF(O61="","",IF(OR(G61="channeling",G61="infusing"),"Magical",IF(G61="blocking","Anti-Physical",IF(G61="warding","Anti-Magical","Physical"))))</f>
        <v/>
      </c>
    </row>
    <row r="62">
      <c r="J62">
        <f>IF(G62="","",IFERROR(IF(G62="infusing",IFERROR(LOOKUP(2,1/ISNUMBER(SEARCH(_lookup!$D$3:$D$4,H62)),_lookup!$E$3:$E$4),"INT"),VLOOKUP(G62,_lookup!$A$3:$B$14,2,FALSE)),""))</f>
        <v/>
      </c>
      <c r="K62">
        <f>IF(F62&lt;&gt;"weapon","",IF(G62="miscellaneous","1-4",IF(I62="","",IFERROR(VLOOKUP(I62&amp;"|"&amp;IF(LEFT(H62,2)="2H",2,1)&amp;"|"&amp;IF(G62="slashing",1,0),_lookup!$G$3:$H$18,2,FALSE),""))))</f>
        <v/>
      </c>
      <c r="L62">
        <f>IF(K62="","",IF(OR(G62="channeling",G62="infusing"),"Magical",IF(G62="blocking","Anti-Physical",IF(G62="warding","Anti-Magical","Physical"))))</f>
        <v/>
      </c>
      <c r="O62">
        <f>IF(F62&lt;&gt;"armor","","TBD")</f>
        <v/>
      </c>
      <c r="P62">
        <f>IF(O62="","",IF(OR(G62="channeling",G62="infusing"),"Magical",IF(G62="blocking","Anti-Physical",IF(G62="warding","Anti-Magical","Physical"))))</f>
        <v/>
      </c>
    </row>
    <row r="63">
      <c r="J63">
        <f>IF(G63="","",IFERROR(IF(G63="infusing",IFERROR(LOOKUP(2,1/ISNUMBER(SEARCH(_lookup!$D$3:$D$4,H63)),_lookup!$E$3:$E$4),"INT"),VLOOKUP(G63,_lookup!$A$3:$B$14,2,FALSE)),""))</f>
        <v/>
      </c>
      <c r="K63">
        <f>IF(F63&lt;&gt;"weapon","",IF(G63="miscellaneous","1-4",IF(I63="","",IFERROR(VLOOKUP(I63&amp;"|"&amp;IF(LEFT(H63,2)="2H",2,1)&amp;"|"&amp;IF(G63="slashing",1,0),_lookup!$G$3:$H$18,2,FALSE),""))))</f>
        <v/>
      </c>
      <c r="L63">
        <f>IF(K63="","",IF(OR(G63="channeling",G63="infusing"),"Magical",IF(G63="blocking","Anti-Physical",IF(G63="warding","Anti-Magical","Physical"))))</f>
        <v/>
      </c>
      <c r="O63">
        <f>IF(F63&lt;&gt;"armor","","TBD")</f>
        <v/>
      </c>
      <c r="P63">
        <f>IF(O63="","",IF(OR(G63="channeling",G63="infusing"),"Magical",IF(G63="blocking","Anti-Physical",IF(G63="warding","Anti-Magical","Physical"))))</f>
        <v/>
      </c>
    </row>
    <row r="64">
      <c r="J64">
        <f>IF(G64="","",IFERROR(IF(G64="infusing",IFERROR(LOOKUP(2,1/ISNUMBER(SEARCH(_lookup!$D$3:$D$4,H64)),_lookup!$E$3:$E$4),"INT"),VLOOKUP(G64,_lookup!$A$3:$B$14,2,FALSE)),""))</f>
        <v/>
      </c>
      <c r="K64">
        <f>IF(F64&lt;&gt;"weapon","",IF(G64="miscellaneous","1-4",IF(I64="","",IFERROR(VLOOKUP(I64&amp;"|"&amp;IF(LEFT(H64,2)="2H",2,1)&amp;"|"&amp;IF(G64="slashing",1,0),_lookup!$G$3:$H$18,2,FALSE),""))))</f>
        <v/>
      </c>
      <c r="L64">
        <f>IF(K64="","",IF(OR(G64="channeling",G64="infusing"),"Magical",IF(G64="blocking","Anti-Physical",IF(G64="warding","Anti-Magical","Physical"))))</f>
        <v/>
      </c>
      <c r="O64">
        <f>IF(F64&lt;&gt;"armor","","TBD")</f>
        <v/>
      </c>
      <c r="P64">
        <f>IF(O64="","",IF(OR(G64="channeling",G64="infusing"),"Magical",IF(G64="blocking","Anti-Physical",IF(G64="warding","Anti-Magical","Physical"))))</f>
        <v/>
      </c>
    </row>
    <row r="65">
      <c r="J65">
        <f>IF(G65="","",IFERROR(IF(G65="infusing",IFERROR(LOOKUP(2,1/ISNUMBER(SEARCH(_lookup!$D$3:$D$4,H65)),_lookup!$E$3:$E$4),"INT"),VLOOKUP(G65,_lookup!$A$3:$B$14,2,FALSE)),""))</f>
        <v/>
      </c>
      <c r="K65">
        <f>IF(F65&lt;&gt;"weapon","",IF(G65="miscellaneous","1-4",IF(I65="","",IFERROR(VLOOKUP(I65&amp;"|"&amp;IF(LEFT(H65,2)="2H",2,1)&amp;"|"&amp;IF(G65="slashing",1,0),_lookup!$G$3:$H$18,2,FALSE),""))))</f>
        <v/>
      </c>
      <c r="L65">
        <f>IF(K65="","",IF(OR(G65="channeling",G65="infusing"),"Magical",IF(G65="blocking","Anti-Physical",IF(G65="warding","Anti-Magical","Physical"))))</f>
        <v/>
      </c>
      <c r="O65">
        <f>IF(F65&lt;&gt;"armor","","TBD")</f>
        <v/>
      </c>
      <c r="P65">
        <f>IF(O65="","",IF(OR(G65="channeling",G65="infusing"),"Magical",IF(G65="blocking","Anti-Physical",IF(G65="warding","Anti-Magical","Physical"))))</f>
        <v/>
      </c>
    </row>
    <row r="66">
      <c r="J66">
        <f>IF(G66="","",IFERROR(IF(G66="infusing",IFERROR(LOOKUP(2,1/ISNUMBER(SEARCH(_lookup!$D$3:$D$4,H66)),_lookup!$E$3:$E$4),"INT"),VLOOKUP(G66,_lookup!$A$3:$B$14,2,FALSE)),""))</f>
        <v/>
      </c>
      <c r="K66">
        <f>IF(F66&lt;&gt;"weapon","",IF(G66="miscellaneous","1-4",IF(I66="","",IFERROR(VLOOKUP(I66&amp;"|"&amp;IF(LEFT(H66,2)="2H",2,1)&amp;"|"&amp;IF(G66="slashing",1,0),_lookup!$G$3:$H$18,2,FALSE),""))))</f>
        <v/>
      </c>
      <c r="L66">
        <f>IF(K66="","",IF(OR(G66="channeling",G66="infusing"),"Magical",IF(G66="blocking","Anti-Physical",IF(G66="warding","Anti-Magical","Physical"))))</f>
        <v/>
      </c>
      <c r="O66">
        <f>IF(F66&lt;&gt;"armor","","TBD")</f>
        <v/>
      </c>
      <c r="P66">
        <f>IF(O66="","",IF(OR(G66="channeling",G66="infusing"),"Magical",IF(G66="blocking","Anti-Physical",IF(G66="warding","Anti-Magical","Physical"))))</f>
        <v/>
      </c>
    </row>
    <row r="67">
      <c r="J67">
        <f>IF(G67="","",IFERROR(IF(G67="infusing",IFERROR(LOOKUP(2,1/ISNUMBER(SEARCH(_lookup!$D$3:$D$4,H67)),_lookup!$E$3:$E$4),"INT"),VLOOKUP(G67,_lookup!$A$3:$B$14,2,FALSE)),""))</f>
        <v/>
      </c>
      <c r="K67">
        <f>IF(F67&lt;&gt;"weapon","",IF(G67="miscellaneous","1-4",IF(I67="","",IFERROR(VLOOKUP(I67&amp;"|"&amp;IF(LEFT(H67,2)="2H",2,1)&amp;"|"&amp;IF(G67="slashing",1,0),_lookup!$G$3:$H$18,2,FALSE),""))))</f>
        <v/>
      </c>
      <c r="L67">
        <f>IF(K67="","",IF(OR(G67="channeling",G67="infusing"),"Magical",IF(G67="blocking","Anti-Physical",IF(G67="warding","Anti-Magical","Physical"))))</f>
        <v/>
      </c>
      <c r="O67">
        <f>IF(F67&lt;&gt;"armor","","TBD")</f>
        <v/>
      </c>
      <c r="P67">
        <f>IF(O67="","",IF(OR(G67="channeling",G67="infusing"),"Magical",IF(G67="blocking","Anti-Physical",IF(G67="warding","Anti-Magical","Physical"))))</f>
        <v/>
      </c>
    </row>
    <row r="68">
      <c r="J68">
        <f>IF(G68="","",IFERROR(IF(G68="infusing",IFERROR(LOOKUP(2,1/ISNUMBER(SEARCH(_lookup!$D$3:$D$4,H68)),_lookup!$E$3:$E$4),"INT"),VLOOKUP(G68,_lookup!$A$3:$B$14,2,FALSE)),""))</f>
        <v/>
      </c>
      <c r="K68">
        <f>IF(F68&lt;&gt;"weapon","",IF(G68="miscellaneous","1-4",IF(I68="","",IFERROR(VLOOKUP(I68&amp;"|"&amp;IF(LEFT(H68,2)="2H",2,1)&amp;"|"&amp;IF(G68="slashing",1,0),_lookup!$G$3:$H$18,2,FALSE),""))))</f>
        <v/>
      </c>
      <c r="L68">
        <f>IF(K68="","",IF(OR(G68="channeling",G68="infusing"),"Magical",IF(G68="blocking","Anti-Physical",IF(G68="warding","Anti-Magical","Physical"))))</f>
        <v/>
      </c>
      <c r="O68">
        <f>IF(F68&lt;&gt;"armor","","TBD")</f>
        <v/>
      </c>
      <c r="P68">
        <f>IF(O68="","",IF(OR(G68="channeling",G68="infusing"),"Magical",IF(G68="blocking","Anti-Physical",IF(G68="warding","Anti-Magical","Physical"))))</f>
        <v/>
      </c>
    </row>
    <row r="69">
      <c r="J69">
        <f>IF(G69="","",IFERROR(IF(G69="infusing",IFERROR(LOOKUP(2,1/ISNUMBER(SEARCH(_lookup!$D$3:$D$4,H69)),_lookup!$E$3:$E$4),"INT"),VLOOKUP(G69,_lookup!$A$3:$B$14,2,FALSE)),""))</f>
        <v/>
      </c>
      <c r="K69">
        <f>IF(F69&lt;&gt;"weapon","",IF(G69="miscellaneous","1-4",IF(I69="","",IFERROR(VLOOKUP(I69&amp;"|"&amp;IF(LEFT(H69,2)="2H",2,1)&amp;"|"&amp;IF(G69="slashing",1,0),_lookup!$G$3:$H$18,2,FALSE),""))))</f>
        <v/>
      </c>
      <c r="L69">
        <f>IF(K69="","",IF(OR(G69="channeling",G69="infusing"),"Magical",IF(G69="blocking","Anti-Physical",IF(G69="warding","Anti-Magical","Physical"))))</f>
        <v/>
      </c>
      <c r="O69">
        <f>IF(F69&lt;&gt;"armor","","TBD")</f>
        <v/>
      </c>
      <c r="P69">
        <f>IF(O69="","",IF(OR(G69="channeling",G69="infusing"),"Magical",IF(G69="blocking","Anti-Physical",IF(G69="warding","Anti-Magical","Physical"))))</f>
        <v/>
      </c>
    </row>
    <row r="70">
      <c r="J70">
        <f>IF(G70="","",IFERROR(IF(G70="infusing",IFERROR(LOOKUP(2,1/ISNUMBER(SEARCH(_lookup!$D$3:$D$4,H70)),_lookup!$E$3:$E$4),"INT"),VLOOKUP(G70,_lookup!$A$3:$B$14,2,FALSE)),""))</f>
        <v/>
      </c>
      <c r="K70">
        <f>IF(F70&lt;&gt;"weapon","",IF(G70="miscellaneous","1-4",IF(I70="","",IFERROR(VLOOKUP(I70&amp;"|"&amp;IF(LEFT(H70,2)="2H",2,1)&amp;"|"&amp;IF(G70="slashing",1,0),_lookup!$G$3:$H$18,2,FALSE),""))))</f>
        <v/>
      </c>
      <c r="L70">
        <f>IF(K70="","",IF(OR(G70="channeling",G70="infusing"),"Magical",IF(G70="blocking","Anti-Physical",IF(G70="warding","Anti-Magical","Physical"))))</f>
        <v/>
      </c>
      <c r="O70">
        <f>IF(F70&lt;&gt;"armor","","TBD")</f>
        <v/>
      </c>
      <c r="P70">
        <f>IF(O70="","",IF(OR(G70="channeling",G70="infusing"),"Magical",IF(G70="blocking","Anti-Physical",IF(G70="warding","Anti-Magical","Physical"))))</f>
        <v/>
      </c>
    </row>
    <row r="71">
      <c r="J71">
        <f>IF(G71="","",IFERROR(IF(G71="infusing",IFERROR(LOOKUP(2,1/ISNUMBER(SEARCH(_lookup!$D$3:$D$4,H71)),_lookup!$E$3:$E$4),"INT"),VLOOKUP(G71,_lookup!$A$3:$B$14,2,FALSE)),""))</f>
        <v/>
      </c>
      <c r="K71">
        <f>IF(F71&lt;&gt;"weapon","",IF(G71="miscellaneous","1-4",IF(I71="","",IFERROR(VLOOKUP(I71&amp;"|"&amp;IF(LEFT(H71,2)="2H",2,1)&amp;"|"&amp;IF(G71="slashing",1,0),_lookup!$G$3:$H$18,2,FALSE),""))))</f>
        <v/>
      </c>
      <c r="L71">
        <f>IF(K71="","",IF(OR(G71="channeling",G71="infusing"),"Magical",IF(G71="blocking","Anti-Physical",IF(G71="warding","Anti-Magical","Physical"))))</f>
        <v/>
      </c>
      <c r="O71">
        <f>IF(F71&lt;&gt;"armor","","TBD")</f>
        <v/>
      </c>
      <c r="P71">
        <f>IF(O71="","",IF(OR(G71="channeling",G71="infusing"),"Magical",IF(G71="blocking","Anti-Physical",IF(G71="warding","Anti-Magical","Physical"))))</f>
        <v/>
      </c>
    </row>
    <row r="72">
      <c r="J72">
        <f>IF(G72="","",IFERROR(IF(G72="infusing",IFERROR(LOOKUP(2,1/ISNUMBER(SEARCH(_lookup!$D$3:$D$4,H72)),_lookup!$E$3:$E$4),"INT"),VLOOKUP(G72,_lookup!$A$3:$B$14,2,FALSE)),""))</f>
        <v/>
      </c>
      <c r="K72">
        <f>IF(F72&lt;&gt;"weapon","",IF(G72="miscellaneous","1-4",IF(I72="","",IFERROR(VLOOKUP(I72&amp;"|"&amp;IF(LEFT(H72,2)="2H",2,1)&amp;"|"&amp;IF(G72="slashing",1,0),_lookup!$G$3:$H$18,2,FALSE),""))))</f>
        <v/>
      </c>
      <c r="L72">
        <f>IF(K72="","",IF(OR(G72="channeling",G72="infusing"),"Magical",IF(G72="blocking","Anti-Physical",IF(G72="warding","Anti-Magical","Physical"))))</f>
        <v/>
      </c>
      <c r="O72">
        <f>IF(F72&lt;&gt;"armor","","TBD")</f>
        <v/>
      </c>
      <c r="P72">
        <f>IF(O72="","",IF(OR(G72="channeling",G72="infusing"),"Magical",IF(G72="blocking","Anti-Physical",IF(G72="warding","Anti-Magical","Physical"))))</f>
        <v/>
      </c>
    </row>
    <row r="73">
      <c r="J73">
        <f>IF(G73="","",IFERROR(IF(G73="infusing",IFERROR(LOOKUP(2,1/ISNUMBER(SEARCH(_lookup!$D$3:$D$4,H73)),_lookup!$E$3:$E$4),"INT"),VLOOKUP(G73,_lookup!$A$3:$B$14,2,FALSE)),""))</f>
        <v/>
      </c>
      <c r="K73">
        <f>IF(F73&lt;&gt;"weapon","",IF(G73="miscellaneous","1-4",IF(I73="","",IFERROR(VLOOKUP(I73&amp;"|"&amp;IF(LEFT(H73,2)="2H",2,1)&amp;"|"&amp;IF(G73="slashing",1,0),_lookup!$G$3:$H$18,2,FALSE),""))))</f>
        <v/>
      </c>
      <c r="L73">
        <f>IF(K73="","",IF(OR(G73="channeling",G73="infusing"),"Magical",IF(G73="blocking","Anti-Physical",IF(G73="warding","Anti-Magical","Physical"))))</f>
        <v/>
      </c>
      <c r="O73">
        <f>IF(F73&lt;&gt;"armor","","TBD")</f>
        <v/>
      </c>
      <c r="P73">
        <f>IF(O73="","",IF(OR(G73="channeling",G73="infusing"),"Magical",IF(G73="blocking","Anti-Physical",IF(G73="warding","Anti-Magical","Physical"))))</f>
        <v/>
      </c>
    </row>
    <row r="74">
      <c r="J74">
        <f>IF(G74="","",IFERROR(IF(G74="infusing",IFERROR(LOOKUP(2,1/ISNUMBER(SEARCH(_lookup!$D$3:$D$4,H74)),_lookup!$E$3:$E$4),"INT"),VLOOKUP(G74,_lookup!$A$3:$B$14,2,FALSE)),""))</f>
        <v/>
      </c>
      <c r="K74">
        <f>IF(F74&lt;&gt;"weapon","",IF(G74="miscellaneous","1-4",IF(I74="","",IFERROR(VLOOKUP(I74&amp;"|"&amp;IF(LEFT(H74,2)="2H",2,1)&amp;"|"&amp;IF(G74="slashing",1,0),_lookup!$G$3:$H$18,2,FALSE),""))))</f>
        <v/>
      </c>
      <c r="L74">
        <f>IF(K74="","",IF(OR(G74="channeling",G74="infusing"),"Magical",IF(G74="blocking","Anti-Physical",IF(G74="warding","Anti-Magical","Physical"))))</f>
        <v/>
      </c>
      <c r="O74">
        <f>IF(F74&lt;&gt;"armor","","TBD")</f>
        <v/>
      </c>
      <c r="P74">
        <f>IF(O74="","",IF(OR(G74="channeling",G74="infusing"),"Magical",IF(G74="blocking","Anti-Physical",IF(G74="warding","Anti-Magical","Physical"))))</f>
        <v/>
      </c>
    </row>
    <row r="75">
      <c r="J75">
        <f>IF(G75="","",IFERROR(IF(G75="infusing",IFERROR(LOOKUP(2,1/ISNUMBER(SEARCH(_lookup!$D$3:$D$4,H75)),_lookup!$E$3:$E$4),"INT"),VLOOKUP(G75,_lookup!$A$3:$B$14,2,FALSE)),""))</f>
        <v/>
      </c>
      <c r="K75">
        <f>IF(F75&lt;&gt;"weapon","",IF(G75="miscellaneous","1-4",IF(I75="","",IFERROR(VLOOKUP(I75&amp;"|"&amp;IF(LEFT(H75,2)="2H",2,1)&amp;"|"&amp;IF(G75="slashing",1,0),_lookup!$G$3:$H$18,2,FALSE),""))))</f>
        <v/>
      </c>
      <c r="L75">
        <f>IF(K75="","",IF(OR(G75="channeling",G75="infusing"),"Magical",IF(G75="blocking","Anti-Physical",IF(G75="warding","Anti-Magical","Physical"))))</f>
        <v/>
      </c>
      <c r="O75">
        <f>IF(F75&lt;&gt;"armor","","TBD")</f>
        <v/>
      </c>
      <c r="P75">
        <f>IF(O75="","",IF(OR(G75="channeling",G75="infusing"),"Magical",IF(G75="blocking","Anti-Physical",IF(G75="warding","Anti-Magical","Physical"))))</f>
        <v/>
      </c>
    </row>
    <row r="76">
      <c r="J76">
        <f>IF(G76="","",IFERROR(IF(G76="infusing",IFERROR(LOOKUP(2,1/ISNUMBER(SEARCH(_lookup!$D$3:$D$4,H76)),_lookup!$E$3:$E$4),"INT"),VLOOKUP(G76,_lookup!$A$3:$B$14,2,FALSE)),""))</f>
        <v/>
      </c>
      <c r="K76">
        <f>IF(F76&lt;&gt;"weapon","",IF(G76="miscellaneous","1-4",IF(I76="","",IFERROR(VLOOKUP(I76&amp;"|"&amp;IF(LEFT(H76,2)="2H",2,1)&amp;"|"&amp;IF(G76="slashing",1,0),_lookup!$G$3:$H$18,2,FALSE),""))))</f>
        <v/>
      </c>
      <c r="L76">
        <f>IF(K76="","",IF(OR(G76="channeling",G76="infusing"),"Magical",IF(G76="blocking","Anti-Physical",IF(G76="warding","Anti-Magical","Physical"))))</f>
        <v/>
      </c>
      <c r="O76">
        <f>IF(F76&lt;&gt;"armor","","TBD")</f>
        <v/>
      </c>
      <c r="P76">
        <f>IF(O76="","",IF(OR(G76="channeling",G76="infusing"),"Magical",IF(G76="blocking","Anti-Physical",IF(G76="warding","Anti-Magical","Physical"))))</f>
        <v/>
      </c>
    </row>
    <row r="77">
      <c r="J77">
        <f>IF(G77="","",IFERROR(IF(G77="infusing",IFERROR(LOOKUP(2,1/ISNUMBER(SEARCH(_lookup!$D$3:$D$4,H77)),_lookup!$E$3:$E$4),"INT"),VLOOKUP(G77,_lookup!$A$3:$B$14,2,FALSE)),""))</f>
        <v/>
      </c>
      <c r="K77">
        <f>IF(F77&lt;&gt;"weapon","",IF(G77="miscellaneous","1-4",IF(I77="","",IFERROR(VLOOKUP(I77&amp;"|"&amp;IF(LEFT(H77,2)="2H",2,1)&amp;"|"&amp;IF(G77="slashing",1,0),_lookup!$G$3:$H$18,2,FALSE),""))))</f>
        <v/>
      </c>
      <c r="L77">
        <f>IF(K77="","",IF(OR(G77="channeling",G77="infusing"),"Magical",IF(G77="blocking","Anti-Physical",IF(G77="warding","Anti-Magical","Physical"))))</f>
        <v/>
      </c>
      <c r="O77">
        <f>IF(F77&lt;&gt;"armor","","TBD")</f>
        <v/>
      </c>
      <c r="P77">
        <f>IF(O77="","",IF(OR(G77="channeling",G77="infusing"),"Magical",IF(G77="blocking","Anti-Physical",IF(G77="warding","Anti-Magical","Physical"))))</f>
        <v/>
      </c>
    </row>
    <row r="78">
      <c r="J78">
        <f>IF(G78="","",IFERROR(IF(G78="infusing",IFERROR(LOOKUP(2,1/ISNUMBER(SEARCH(_lookup!$D$3:$D$4,H78)),_lookup!$E$3:$E$4),"INT"),VLOOKUP(G78,_lookup!$A$3:$B$14,2,FALSE)),""))</f>
        <v/>
      </c>
      <c r="K78">
        <f>IF(F78&lt;&gt;"weapon","",IF(G78="miscellaneous","1-4",IF(I78="","",IFERROR(VLOOKUP(I78&amp;"|"&amp;IF(LEFT(H78,2)="2H",2,1)&amp;"|"&amp;IF(G78="slashing",1,0),_lookup!$G$3:$H$18,2,FALSE),""))))</f>
        <v/>
      </c>
      <c r="L78">
        <f>IF(K78="","",IF(OR(G78="channeling",G78="infusing"),"Magical",IF(G78="blocking","Anti-Physical",IF(G78="warding","Anti-Magical","Physical"))))</f>
        <v/>
      </c>
      <c r="O78">
        <f>IF(F78&lt;&gt;"armor","","TBD")</f>
        <v/>
      </c>
      <c r="P78">
        <f>IF(O78="","",IF(OR(G78="channeling",G78="infusing"),"Magical",IF(G78="blocking","Anti-Physical",IF(G78="warding","Anti-Magical","Physical"))))</f>
        <v/>
      </c>
    </row>
    <row r="79">
      <c r="J79">
        <f>IF(G79="","",IFERROR(IF(G79="infusing",IFERROR(LOOKUP(2,1/ISNUMBER(SEARCH(_lookup!$D$3:$D$4,H79)),_lookup!$E$3:$E$4),"INT"),VLOOKUP(G79,_lookup!$A$3:$B$14,2,FALSE)),""))</f>
        <v/>
      </c>
      <c r="K79">
        <f>IF(F79&lt;&gt;"weapon","",IF(G79="miscellaneous","1-4",IF(I79="","",IFERROR(VLOOKUP(I79&amp;"|"&amp;IF(LEFT(H79,2)="2H",2,1)&amp;"|"&amp;IF(G79="slashing",1,0),_lookup!$G$3:$H$18,2,FALSE),""))))</f>
        <v/>
      </c>
      <c r="L79">
        <f>IF(K79="","",IF(OR(G79="channeling",G79="infusing"),"Magical",IF(G79="blocking","Anti-Physical",IF(G79="warding","Anti-Magical","Physical"))))</f>
        <v/>
      </c>
      <c r="O79">
        <f>IF(F79&lt;&gt;"armor","","TBD")</f>
        <v/>
      </c>
      <c r="P79">
        <f>IF(O79="","",IF(OR(G79="channeling",G79="infusing"),"Magical",IF(G79="blocking","Anti-Physical",IF(G79="warding","Anti-Magical","Physical"))))</f>
        <v/>
      </c>
    </row>
    <row r="80">
      <c r="J80">
        <f>IF(G80="","",IFERROR(IF(G80="infusing",IFERROR(LOOKUP(2,1/ISNUMBER(SEARCH(_lookup!$D$3:$D$4,H80)),_lookup!$E$3:$E$4),"INT"),VLOOKUP(G80,_lookup!$A$3:$B$14,2,FALSE)),""))</f>
        <v/>
      </c>
      <c r="K80">
        <f>IF(F80&lt;&gt;"weapon","",IF(G80="miscellaneous","1-4",IF(I80="","",IFERROR(VLOOKUP(I80&amp;"|"&amp;IF(LEFT(H80,2)="2H",2,1)&amp;"|"&amp;IF(G80="slashing",1,0),_lookup!$G$3:$H$18,2,FALSE),""))))</f>
        <v/>
      </c>
      <c r="L80">
        <f>IF(K80="","",IF(OR(G80="channeling",G80="infusing"),"Magical",IF(G80="blocking","Anti-Physical",IF(G80="warding","Anti-Magical","Physical"))))</f>
        <v/>
      </c>
      <c r="O80">
        <f>IF(F80&lt;&gt;"armor","","TBD")</f>
        <v/>
      </c>
      <c r="P80">
        <f>IF(O80="","",IF(OR(G80="channeling",G80="infusing"),"Magical",IF(G80="blocking","Anti-Physical",IF(G80="warding","Anti-Magical","Physical"))))</f>
        <v/>
      </c>
    </row>
    <row r="81">
      <c r="J81">
        <f>IF(G81="","",IFERROR(IF(G81="infusing",IFERROR(LOOKUP(2,1/ISNUMBER(SEARCH(_lookup!$D$3:$D$4,H81)),_lookup!$E$3:$E$4),"INT"),VLOOKUP(G81,_lookup!$A$3:$B$14,2,FALSE)),""))</f>
        <v/>
      </c>
      <c r="K81">
        <f>IF(F81&lt;&gt;"weapon","",IF(G81="miscellaneous","1-4",IF(I81="","",IFERROR(VLOOKUP(I81&amp;"|"&amp;IF(LEFT(H81,2)="2H",2,1)&amp;"|"&amp;IF(G81="slashing",1,0),_lookup!$G$3:$H$18,2,FALSE),""))))</f>
        <v/>
      </c>
      <c r="L81">
        <f>IF(K81="","",IF(OR(G81="channeling",G81="infusing"),"Magical",IF(G81="blocking","Anti-Physical",IF(G81="warding","Anti-Magical","Physical"))))</f>
        <v/>
      </c>
      <c r="O81">
        <f>IF(F81&lt;&gt;"armor","","TBD")</f>
        <v/>
      </c>
      <c r="P81">
        <f>IF(O81="","",IF(OR(G81="channeling",G81="infusing"),"Magical",IF(G81="blocking","Anti-Physical",IF(G81="warding","Anti-Magical","Physical"))))</f>
        <v/>
      </c>
    </row>
    <row r="82">
      <c r="J82">
        <f>IF(G82="","",IFERROR(IF(G82="infusing",IFERROR(LOOKUP(2,1/ISNUMBER(SEARCH(_lookup!$D$3:$D$4,H82)),_lookup!$E$3:$E$4),"INT"),VLOOKUP(G82,_lookup!$A$3:$B$14,2,FALSE)),""))</f>
        <v/>
      </c>
      <c r="K82">
        <f>IF(F82&lt;&gt;"weapon","",IF(G82="miscellaneous","1-4",IF(I82="","",IFERROR(VLOOKUP(I82&amp;"|"&amp;IF(LEFT(H82,2)="2H",2,1)&amp;"|"&amp;IF(G82="slashing",1,0),_lookup!$G$3:$H$18,2,FALSE),""))))</f>
        <v/>
      </c>
      <c r="L82">
        <f>IF(K82="","",IF(OR(G82="channeling",G82="infusing"),"Magical",IF(G82="blocking","Anti-Physical",IF(G82="warding","Anti-Magical","Physical"))))</f>
        <v/>
      </c>
      <c r="O82">
        <f>IF(F82&lt;&gt;"armor","","TBD")</f>
        <v/>
      </c>
      <c r="P82">
        <f>IF(O82="","",IF(OR(G82="channeling",G82="infusing"),"Magical",IF(G82="blocking","Anti-Physical",IF(G82="warding","Anti-Magical","Physical"))))</f>
        <v/>
      </c>
    </row>
    <row r="83">
      <c r="J83">
        <f>IF(G83="","",IFERROR(IF(G83="infusing",IFERROR(LOOKUP(2,1/ISNUMBER(SEARCH(_lookup!$D$3:$D$4,H83)),_lookup!$E$3:$E$4),"INT"),VLOOKUP(G83,_lookup!$A$3:$B$14,2,FALSE)),""))</f>
        <v/>
      </c>
      <c r="K83">
        <f>IF(F83&lt;&gt;"weapon","",IF(G83="miscellaneous","1-4",IF(I83="","",IFERROR(VLOOKUP(I83&amp;"|"&amp;IF(LEFT(H83,2)="2H",2,1)&amp;"|"&amp;IF(G83="slashing",1,0),_lookup!$G$3:$H$18,2,FALSE),""))))</f>
        <v/>
      </c>
      <c r="L83">
        <f>IF(K83="","",IF(OR(G83="channeling",G83="infusing"),"Magical",IF(G83="blocking","Anti-Physical",IF(G83="warding","Anti-Magical","Physical"))))</f>
        <v/>
      </c>
      <c r="O83">
        <f>IF(F83&lt;&gt;"armor","","TBD")</f>
        <v/>
      </c>
      <c r="P83">
        <f>IF(O83="","",IF(OR(G83="channeling",G83="infusing"),"Magical",IF(G83="blocking","Anti-Physical",IF(G83="warding","Anti-Magical","Physical"))))</f>
        <v/>
      </c>
    </row>
    <row r="84">
      <c r="J84">
        <f>IF(G84="","",IFERROR(IF(G84="infusing",IFERROR(LOOKUP(2,1/ISNUMBER(SEARCH(_lookup!$D$3:$D$4,H84)),_lookup!$E$3:$E$4),"INT"),VLOOKUP(G84,_lookup!$A$3:$B$14,2,FALSE)),""))</f>
        <v/>
      </c>
      <c r="K84">
        <f>IF(F84&lt;&gt;"weapon","",IF(G84="miscellaneous","1-4",IF(I84="","",IFERROR(VLOOKUP(I84&amp;"|"&amp;IF(LEFT(H84,2)="2H",2,1)&amp;"|"&amp;IF(G84="slashing",1,0),_lookup!$G$3:$H$18,2,FALSE),""))))</f>
        <v/>
      </c>
      <c r="L84">
        <f>IF(K84="","",IF(OR(G84="channeling",G84="infusing"),"Magical",IF(G84="blocking","Anti-Physical",IF(G84="warding","Anti-Magical","Physical"))))</f>
        <v/>
      </c>
      <c r="O84">
        <f>IF(F84&lt;&gt;"armor","","TBD")</f>
        <v/>
      </c>
      <c r="P84">
        <f>IF(O84="","",IF(OR(G84="channeling",G84="infusing"),"Magical",IF(G84="blocking","Anti-Physical",IF(G84="warding","Anti-Magical","Physical"))))</f>
        <v/>
      </c>
    </row>
    <row r="85">
      <c r="J85">
        <f>IF(G85="","",IFERROR(IF(G85="infusing",IFERROR(LOOKUP(2,1/ISNUMBER(SEARCH(_lookup!$D$3:$D$4,H85)),_lookup!$E$3:$E$4),"INT"),VLOOKUP(G85,_lookup!$A$3:$B$14,2,FALSE)),""))</f>
        <v/>
      </c>
      <c r="K85">
        <f>IF(F85&lt;&gt;"weapon","",IF(G85="miscellaneous","1-4",IF(I85="","",IFERROR(VLOOKUP(I85&amp;"|"&amp;IF(LEFT(H85,2)="2H",2,1)&amp;"|"&amp;IF(G85="slashing",1,0),_lookup!$G$3:$H$18,2,FALSE),""))))</f>
        <v/>
      </c>
      <c r="L85">
        <f>IF(K85="","",IF(OR(G85="channeling",G85="infusing"),"Magical",IF(G85="blocking","Anti-Physical",IF(G85="warding","Anti-Magical","Physical"))))</f>
        <v/>
      </c>
      <c r="O85">
        <f>IF(F85&lt;&gt;"armor","","TBD")</f>
        <v/>
      </c>
      <c r="P85">
        <f>IF(O85="","",IF(OR(G85="channeling",G85="infusing"),"Magical",IF(G85="blocking","Anti-Physical",IF(G85="warding","Anti-Magical","Physical"))))</f>
        <v/>
      </c>
    </row>
    <row r="86">
      <c r="J86">
        <f>IF(G86="","",IFERROR(IF(G86="infusing",IFERROR(LOOKUP(2,1/ISNUMBER(SEARCH(_lookup!$D$3:$D$4,H86)),_lookup!$E$3:$E$4),"INT"),VLOOKUP(G86,_lookup!$A$3:$B$14,2,FALSE)),""))</f>
        <v/>
      </c>
      <c r="K86">
        <f>IF(F86&lt;&gt;"weapon","",IF(G86="miscellaneous","1-4",IF(I86="","",IFERROR(VLOOKUP(I86&amp;"|"&amp;IF(LEFT(H86,2)="2H",2,1)&amp;"|"&amp;IF(G86="slashing",1,0),_lookup!$G$3:$H$18,2,FALSE),""))))</f>
        <v/>
      </c>
      <c r="L86">
        <f>IF(K86="","",IF(OR(G86="channeling",G86="infusing"),"Magical",IF(G86="blocking","Anti-Physical",IF(G86="warding","Anti-Magical","Physical"))))</f>
        <v/>
      </c>
      <c r="O86">
        <f>IF(F86&lt;&gt;"armor","","TBD")</f>
        <v/>
      </c>
      <c r="P86">
        <f>IF(O86="","",IF(OR(G86="channeling",G86="infusing"),"Magical",IF(G86="blocking","Anti-Physical",IF(G86="warding","Anti-Magical","Physical"))))</f>
        <v/>
      </c>
    </row>
    <row r="87">
      <c r="J87">
        <f>IF(G87="","",IFERROR(IF(G87="infusing",IFERROR(LOOKUP(2,1/ISNUMBER(SEARCH(_lookup!$D$3:$D$4,H87)),_lookup!$E$3:$E$4),"INT"),VLOOKUP(G87,_lookup!$A$3:$B$14,2,FALSE)),""))</f>
        <v/>
      </c>
      <c r="K87">
        <f>IF(F87&lt;&gt;"weapon","",IF(G87="miscellaneous","1-4",IF(I87="","",IFERROR(VLOOKUP(I87&amp;"|"&amp;IF(LEFT(H87,2)="2H",2,1)&amp;"|"&amp;IF(G87="slashing",1,0),_lookup!$G$3:$H$18,2,FALSE),""))))</f>
        <v/>
      </c>
      <c r="L87">
        <f>IF(K87="","",IF(OR(G87="channeling",G87="infusing"),"Magical",IF(G87="blocking","Anti-Physical",IF(G87="warding","Anti-Magical","Physical"))))</f>
        <v/>
      </c>
      <c r="O87">
        <f>IF(F87&lt;&gt;"armor","","TBD")</f>
        <v/>
      </c>
      <c r="P87">
        <f>IF(O87="","",IF(OR(G87="channeling",G87="infusing"),"Magical",IF(G87="blocking","Anti-Physical",IF(G87="warding","Anti-Magical","Physical"))))</f>
        <v/>
      </c>
    </row>
    <row r="88">
      <c r="J88">
        <f>IF(G88="","",IFERROR(IF(G88="infusing",IFERROR(LOOKUP(2,1/ISNUMBER(SEARCH(_lookup!$D$3:$D$4,H88)),_lookup!$E$3:$E$4),"INT"),VLOOKUP(G88,_lookup!$A$3:$B$14,2,FALSE)),""))</f>
        <v/>
      </c>
      <c r="K88">
        <f>IF(F88&lt;&gt;"weapon","",IF(G88="miscellaneous","1-4",IF(I88="","",IFERROR(VLOOKUP(I88&amp;"|"&amp;IF(LEFT(H88,2)="2H",2,1)&amp;"|"&amp;IF(G88="slashing",1,0),_lookup!$G$3:$H$18,2,FALSE),""))))</f>
        <v/>
      </c>
      <c r="L88">
        <f>IF(K88="","",IF(OR(G88="channeling",G88="infusing"),"Magical",IF(G88="blocking","Anti-Physical",IF(G88="warding","Anti-Magical","Physical"))))</f>
        <v/>
      </c>
      <c r="O88">
        <f>IF(F88&lt;&gt;"armor","","TBD")</f>
        <v/>
      </c>
      <c r="P88">
        <f>IF(O88="","",IF(OR(G88="channeling",G88="infusing"),"Magical",IF(G88="blocking","Anti-Physical",IF(G88="warding","Anti-Magical","Physical"))))</f>
        <v/>
      </c>
    </row>
    <row r="89">
      <c r="J89">
        <f>IF(G89="","",IFERROR(IF(G89="infusing",IFERROR(LOOKUP(2,1/ISNUMBER(SEARCH(_lookup!$D$3:$D$4,H89)),_lookup!$E$3:$E$4),"INT"),VLOOKUP(G89,_lookup!$A$3:$B$14,2,FALSE)),""))</f>
        <v/>
      </c>
      <c r="K89">
        <f>IF(F89&lt;&gt;"weapon","",IF(G89="miscellaneous","1-4",IF(I89="","",IFERROR(VLOOKUP(I89&amp;"|"&amp;IF(LEFT(H89,2)="2H",2,1)&amp;"|"&amp;IF(G89="slashing",1,0),_lookup!$G$3:$H$18,2,FALSE),""))))</f>
        <v/>
      </c>
      <c r="L89">
        <f>IF(K89="","",IF(OR(G89="channeling",G89="infusing"),"Magical",IF(G89="blocking","Anti-Physical",IF(G89="warding","Anti-Magical","Physical"))))</f>
        <v/>
      </c>
      <c r="O89">
        <f>IF(F89&lt;&gt;"armor","","TBD")</f>
        <v/>
      </c>
      <c r="P89">
        <f>IF(O89="","",IF(OR(G89="channeling",G89="infusing"),"Magical",IF(G89="blocking","Anti-Physical",IF(G89="warding","Anti-Magical","Physical"))))</f>
        <v/>
      </c>
    </row>
    <row r="90">
      <c r="J90">
        <f>IF(G90="","",IFERROR(IF(G90="infusing",IFERROR(LOOKUP(2,1/ISNUMBER(SEARCH(_lookup!$D$3:$D$4,H90)),_lookup!$E$3:$E$4),"INT"),VLOOKUP(G90,_lookup!$A$3:$B$14,2,FALSE)),""))</f>
        <v/>
      </c>
      <c r="K90">
        <f>IF(F90&lt;&gt;"weapon","",IF(G90="miscellaneous","1-4",IF(I90="","",IFERROR(VLOOKUP(I90&amp;"|"&amp;IF(LEFT(H90,2)="2H",2,1)&amp;"|"&amp;IF(G90="slashing",1,0),_lookup!$G$3:$H$18,2,FALSE),""))))</f>
        <v/>
      </c>
      <c r="L90">
        <f>IF(K90="","",IF(OR(G90="channeling",G90="infusing"),"Magical",IF(G90="blocking","Anti-Physical",IF(G90="warding","Anti-Magical","Physical"))))</f>
        <v/>
      </c>
      <c r="O90">
        <f>IF(F90&lt;&gt;"armor","","TBD")</f>
        <v/>
      </c>
      <c r="P90">
        <f>IF(O90="","",IF(OR(G90="channeling",G90="infusing"),"Magical",IF(G90="blocking","Anti-Physical",IF(G90="warding","Anti-Magical","Physical"))))</f>
        <v/>
      </c>
    </row>
    <row r="91">
      <c r="J91">
        <f>IF(G91="","",IFERROR(IF(G91="infusing",IFERROR(LOOKUP(2,1/ISNUMBER(SEARCH(_lookup!$D$3:$D$4,H91)),_lookup!$E$3:$E$4),"INT"),VLOOKUP(G91,_lookup!$A$3:$B$14,2,FALSE)),""))</f>
        <v/>
      </c>
      <c r="K91">
        <f>IF(F91&lt;&gt;"weapon","",IF(G91="miscellaneous","1-4",IF(I91="","",IFERROR(VLOOKUP(I91&amp;"|"&amp;IF(LEFT(H91,2)="2H",2,1)&amp;"|"&amp;IF(G91="slashing",1,0),_lookup!$G$3:$H$18,2,FALSE),""))))</f>
        <v/>
      </c>
      <c r="L91">
        <f>IF(K91="","",IF(OR(G91="channeling",G91="infusing"),"Magical",IF(G91="blocking","Anti-Physical",IF(G91="warding","Anti-Magical","Physical"))))</f>
        <v/>
      </c>
      <c r="O91">
        <f>IF(F91&lt;&gt;"armor","","TBD")</f>
        <v/>
      </c>
      <c r="P91">
        <f>IF(O91="","",IF(OR(G91="channeling",G91="infusing"),"Magical",IF(G91="blocking","Anti-Physical",IF(G91="warding","Anti-Magical","Physical"))))</f>
        <v/>
      </c>
    </row>
    <row r="92">
      <c r="J92">
        <f>IF(G92="","",IFERROR(IF(G92="infusing",IFERROR(LOOKUP(2,1/ISNUMBER(SEARCH(_lookup!$D$3:$D$4,H92)),_lookup!$E$3:$E$4),"INT"),VLOOKUP(G92,_lookup!$A$3:$B$14,2,FALSE)),""))</f>
        <v/>
      </c>
      <c r="K92">
        <f>IF(F92&lt;&gt;"weapon","",IF(G92="miscellaneous","1-4",IF(I92="","",IFERROR(VLOOKUP(I92&amp;"|"&amp;IF(LEFT(H92,2)="2H",2,1)&amp;"|"&amp;IF(G92="slashing",1,0),_lookup!$G$3:$H$18,2,FALSE),""))))</f>
        <v/>
      </c>
      <c r="L92">
        <f>IF(K92="","",IF(OR(G92="channeling",G92="infusing"),"Magical",IF(G92="blocking","Anti-Physical",IF(G92="warding","Anti-Magical","Physical"))))</f>
        <v/>
      </c>
      <c r="O92">
        <f>IF(F92&lt;&gt;"armor","","TBD")</f>
        <v/>
      </c>
      <c r="P92">
        <f>IF(O92="","",IF(OR(G92="channeling",G92="infusing"),"Magical",IF(G92="blocking","Anti-Physical",IF(G92="warding","Anti-Magical","Physical"))))</f>
        <v/>
      </c>
    </row>
    <row r="93">
      <c r="J93">
        <f>IF(G93="","",IFERROR(IF(G93="infusing",IFERROR(LOOKUP(2,1/ISNUMBER(SEARCH(_lookup!$D$3:$D$4,H93)),_lookup!$E$3:$E$4),"INT"),VLOOKUP(G93,_lookup!$A$3:$B$14,2,FALSE)),""))</f>
        <v/>
      </c>
      <c r="K93">
        <f>IF(F93&lt;&gt;"weapon","",IF(G93="miscellaneous","1-4",IF(I93="","",IFERROR(VLOOKUP(I93&amp;"|"&amp;IF(LEFT(H93,2)="2H",2,1)&amp;"|"&amp;IF(G93="slashing",1,0),_lookup!$G$3:$H$18,2,FALSE),""))))</f>
        <v/>
      </c>
      <c r="L93">
        <f>IF(K93="","",IF(OR(G93="channeling",G93="infusing"),"Magical",IF(G93="blocking","Anti-Physical",IF(G93="warding","Anti-Magical","Physical"))))</f>
        <v/>
      </c>
      <c r="O93">
        <f>IF(F93&lt;&gt;"armor","","TBD")</f>
        <v/>
      </c>
      <c r="P93">
        <f>IF(O93="","",IF(OR(G93="channeling",G93="infusing"),"Magical",IF(G93="blocking","Anti-Physical",IF(G93="warding","Anti-Magical","Physical"))))</f>
        <v/>
      </c>
    </row>
    <row r="94">
      <c r="J94">
        <f>IF(G94="","",IFERROR(IF(G94="infusing",IFERROR(LOOKUP(2,1/ISNUMBER(SEARCH(_lookup!$D$3:$D$4,H94)),_lookup!$E$3:$E$4),"INT"),VLOOKUP(G94,_lookup!$A$3:$B$14,2,FALSE)),""))</f>
        <v/>
      </c>
      <c r="K94">
        <f>IF(F94&lt;&gt;"weapon","",IF(G94="miscellaneous","1-4",IF(I94="","",IFERROR(VLOOKUP(I94&amp;"|"&amp;IF(LEFT(H94,2)="2H",2,1)&amp;"|"&amp;IF(G94="slashing",1,0),_lookup!$G$3:$H$18,2,FALSE),""))))</f>
        <v/>
      </c>
      <c r="L94">
        <f>IF(K94="","",IF(OR(G94="channeling",G94="infusing"),"Magical",IF(G94="blocking","Anti-Physical",IF(G94="warding","Anti-Magical","Physical"))))</f>
        <v/>
      </c>
      <c r="O94">
        <f>IF(F94&lt;&gt;"armor","","TBD")</f>
        <v/>
      </c>
      <c r="P94">
        <f>IF(O94="","",IF(OR(G94="channeling",G94="infusing"),"Magical",IF(G94="blocking","Anti-Physical",IF(G94="warding","Anti-Magical","Physical"))))</f>
        <v/>
      </c>
    </row>
    <row r="95">
      <c r="J95">
        <f>IF(G95="","",IFERROR(IF(G95="infusing",IFERROR(LOOKUP(2,1/ISNUMBER(SEARCH(_lookup!$D$3:$D$4,H95)),_lookup!$E$3:$E$4),"INT"),VLOOKUP(G95,_lookup!$A$3:$B$14,2,FALSE)),""))</f>
        <v/>
      </c>
      <c r="K95">
        <f>IF(F95&lt;&gt;"weapon","",IF(G95="miscellaneous","1-4",IF(I95="","",IFERROR(VLOOKUP(I95&amp;"|"&amp;IF(LEFT(H95,2)="2H",2,1)&amp;"|"&amp;IF(G95="slashing",1,0),_lookup!$G$3:$H$18,2,FALSE),""))))</f>
        <v/>
      </c>
      <c r="L95">
        <f>IF(K95="","",IF(OR(G95="channeling",G95="infusing"),"Magical",IF(G95="blocking","Anti-Physical",IF(G95="warding","Anti-Magical","Physical"))))</f>
        <v/>
      </c>
      <c r="O95">
        <f>IF(F95&lt;&gt;"armor","","TBD")</f>
        <v/>
      </c>
      <c r="P95">
        <f>IF(O95="","",IF(OR(G95="channeling",G95="infusing"),"Magical",IF(G95="blocking","Anti-Physical",IF(G95="warding","Anti-Magical","Physical"))))</f>
        <v/>
      </c>
    </row>
    <row r="96">
      <c r="J96">
        <f>IF(G96="","",IFERROR(IF(G96="infusing",IFERROR(LOOKUP(2,1/ISNUMBER(SEARCH(_lookup!$D$3:$D$4,H96)),_lookup!$E$3:$E$4),"INT"),VLOOKUP(G96,_lookup!$A$3:$B$14,2,FALSE)),""))</f>
        <v/>
      </c>
      <c r="K96">
        <f>IF(F96&lt;&gt;"weapon","",IF(G96="miscellaneous","1-4",IF(I96="","",IFERROR(VLOOKUP(I96&amp;"|"&amp;IF(LEFT(H96,2)="2H",2,1)&amp;"|"&amp;IF(G96="slashing",1,0),_lookup!$G$3:$H$18,2,FALSE),""))))</f>
        <v/>
      </c>
      <c r="L96">
        <f>IF(K96="","",IF(OR(G96="channeling",G96="infusing"),"Magical",IF(G96="blocking","Anti-Physical",IF(G96="warding","Anti-Magical","Physical"))))</f>
        <v/>
      </c>
      <c r="O96">
        <f>IF(F96&lt;&gt;"armor","","TBD")</f>
        <v/>
      </c>
      <c r="P96">
        <f>IF(O96="","",IF(OR(G96="channeling",G96="infusing"),"Magical",IF(G96="blocking","Anti-Physical",IF(G96="warding","Anti-Magical","Physical"))))</f>
        <v/>
      </c>
    </row>
    <row r="97">
      <c r="J97">
        <f>IF(G97="","",IFERROR(IF(G97="infusing",IFERROR(LOOKUP(2,1/ISNUMBER(SEARCH(_lookup!$D$3:$D$4,H97)),_lookup!$E$3:$E$4),"INT"),VLOOKUP(G97,_lookup!$A$3:$B$14,2,FALSE)),""))</f>
        <v/>
      </c>
      <c r="K97">
        <f>IF(F97&lt;&gt;"weapon","",IF(G97="miscellaneous","1-4",IF(I97="","",IFERROR(VLOOKUP(I97&amp;"|"&amp;IF(LEFT(H97,2)="2H",2,1)&amp;"|"&amp;IF(G97="slashing",1,0),_lookup!$G$3:$H$18,2,FALSE),""))))</f>
        <v/>
      </c>
      <c r="L97">
        <f>IF(K97="","",IF(OR(G97="channeling",G97="infusing"),"Magical",IF(G97="blocking","Anti-Physical",IF(G97="warding","Anti-Magical","Physical"))))</f>
        <v/>
      </c>
      <c r="O97">
        <f>IF(F97&lt;&gt;"armor","","TBD")</f>
        <v/>
      </c>
      <c r="P97">
        <f>IF(O97="","",IF(OR(G97="channeling",G97="infusing"),"Magical",IF(G97="blocking","Anti-Physical",IF(G97="warding","Anti-Magical","Physical"))))</f>
        <v/>
      </c>
    </row>
    <row r="98">
      <c r="J98">
        <f>IF(G98="","",IFERROR(IF(G98="infusing",IFERROR(LOOKUP(2,1/ISNUMBER(SEARCH(_lookup!$D$3:$D$4,H98)),_lookup!$E$3:$E$4),"INT"),VLOOKUP(G98,_lookup!$A$3:$B$14,2,FALSE)),""))</f>
        <v/>
      </c>
      <c r="K98">
        <f>IF(F98&lt;&gt;"weapon","",IF(G98="miscellaneous","1-4",IF(I98="","",IFERROR(VLOOKUP(I98&amp;"|"&amp;IF(LEFT(H98,2)="2H",2,1)&amp;"|"&amp;IF(G98="slashing",1,0),_lookup!$G$3:$H$18,2,FALSE),""))))</f>
        <v/>
      </c>
      <c r="L98">
        <f>IF(K98="","",IF(OR(G98="channeling",G98="infusing"),"Magical",IF(G98="blocking","Anti-Physical",IF(G98="warding","Anti-Magical","Physical"))))</f>
        <v/>
      </c>
      <c r="O98">
        <f>IF(F98&lt;&gt;"armor","","TBD")</f>
        <v/>
      </c>
      <c r="P98">
        <f>IF(O98="","",IF(OR(G98="channeling",G98="infusing"),"Magical",IF(G98="blocking","Anti-Physical",IF(G98="warding","Anti-Magical","Physical"))))</f>
        <v/>
      </c>
    </row>
    <row r="99">
      <c r="J99">
        <f>IF(G99="","",IFERROR(IF(G99="infusing",IFERROR(LOOKUP(2,1/ISNUMBER(SEARCH(_lookup!$D$3:$D$4,H99)),_lookup!$E$3:$E$4),"INT"),VLOOKUP(G99,_lookup!$A$3:$B$14,2,FALSE)),""))</f>
        <v/>
      </c>
      <c r="K99">
        <f>IF(F99&lt;&gt;"weapon","",IF(G99="miscellaneous","1-4",IF(I99="","",IFERROR(VLOOKUP(I99&amp;"|"&amp;IF(LEFT(H99,2)="2H",2,1)&amp;"|"&amp;IF(G99="slashing",1,0),_lookup!$G$3:$H$18,2,FALSE),""))))</f>
        <v/>
      </c>
      <c r="L99">
        <f>IF(K99="","",IF(OR(G99="channeling",G99="infusing"),"Magical",IF(G99="blocking","Anti-Physical",IF(G99="warding","Anti-Magical","Physical"))))</f>
        <v/>
      </c>
      <c r="O99">
        <f>IF(F99&lt;&gt;"armor","","TBD")</f>
        <v/>
      </c>
      <c r="P99">
        <f>IF(O99="","",IF(OR(G99="channeling",G99="infusing"),"Magical",IF(G99="blocking","Anti-Physical",IF(G99="warding","Anti-Magical","Physical"))))</f>
        <v/>
      </c>
    </row>
    <row r="100">
      <c r="J100">
        <f>IF(G100="","",IFERROR(IF(G100="infusing",IFERROR(LOOKUP(2,1/ISNUMBER(SEARCH(_lookup!$D$3:$D$4,H100)),_lookup!$E$3:$E$4),"INT"),VLOOKUP(G100,_lookup!$A$3:$B$14,2,FALSE)),""))</f>
        <v/>
      </c>
      <c r="K100">
        <f>IF(F100&lt;&gt;"weapon","",IF(G100="miscellaneous","1-4",IF(I100="","",IFERROR(VLOOKUP(I100&amp;"|"&amp;IF(LEFT(H100,2)="2H",2,1)&amp;"|"&amp;IF(G100="slashing",1,0),_lookup!$G$3:$H$18,2,FALSE),""))))</f>
        <v/>
      </c>
      <c r="L100">
        <f>IF(K100="","",IF(OR(G100="channeling",G100="infusing"),"Magical",IF(G100="blocking","Anti-Physical",IF(G100="warding","Anti-Magical","Physical"))))</f>
        <v/>
      </c>
      <c r="O100">
        <f>IF(F100&lt;&gt;"armor","","TBD")</f>
        <v/>
      </c>
      <c r="P100">
        <f>IF(O100="","",IF(OR(G100="channeling",G100="infusing"),"Magical",IF(G100="blocking","Anti-Physical",IF(G100="warding","Anti-Magical","Physical"))))</f>
        <v/>
      </c>
    </row>
    <row r="101">
      <c r="J101">
        <f>IF(G101="","",IFERROR(IF(G101="infusing",IFERROR(LOOKUP(2,1/ISNUMBER(SEARCH(_lookup!$D$3:$D$4,H101)),_lookup!$E$3:$E$4),"INT"),VLOOKUP(G101,_lookup!$A$3:$B$14,2,FALSE)),""))</f>
        <v/>
      </c>
      <c r="K101">
        <f>IF(F101&lt;&gt;"weapon","",IF(G101="miscellaneous","1-4",IF(I101="","",IFERROR(VLOOKUP(I101&amp;"|"&amp;IF(LEFT(H101,2)="2H",2,1)&amp;"|"&amp;IF(G101="slashing",1,0),_lookup!$G$3:$H$18,2,FALSE),""))))</f>
        <v/>
      </c>
      <c r="L101">
        <f>IF(K101="","",IF(OR(G101="channeling",G101="infusing"),"Magical",IF(G101="blocking","Anti-Physical",IF(G101="warding","Anti-Magical","Physical"))))</f>
        <v/>
      </c>
      <c r="O101">
        <f>IF(F101&lt;&gt;"armor","","TBD")</f>
        <v/>
      </c>
      <c r="P101">
        <f>IF(O101="","",IF(OR(G101="channeling",G101="infusing"),"Magical",IF(G101="blocking","Anti-Physical",IF(G101="warding","Anti-Magical","Physical"))))</f>
        <v/>
      </c>
    </row>
    <row r="102">
      <c r="J102">
        <f>IF(G102="","",IFERROR(IF(G102="infusing",IFERROR(LOOKUP(2,1/ISNUMBER(SEARCH(_lookup!$D$3:$D$4,H102)),_lookup!$E$3:$E$4),"INT"),VLOOKUP(G102,_lookup!$A$3:$B$14,2,FALSE)),""))</f>
        <v/>
      </c>
      <c r="K102">
        <f>IF(F102&lt;&gt;"weapon","",IF(G102="miscellaneous","1-4",IF(I102="","",IFERROR(VLOOKUP(I102&amp;"|"&amp;IF(LEFT(H102,2)="2H",2,1)&amp;"|"&amp;IF(G102="slashing",1,0),_lookup!$G$3:$H$18,2,FALSE),""))))</f>
        <v/>
      </c>
      <c r="L102">
        <f>IF(K102="","",IF(OR(G102="channeling",G102="infusing"),"Magical",IF(G102="blocking","Anti-Physical",IF(G102="warding","Anti-Magical","Physical"))))</f>
        <v/>
      </c>
      <c r="O102">
        <f>IF(F102&lt;&gt;"armor","","TBD")</f>
        <v/>
      </c>
      <c r="P102">
        <f>IF(O102="","",IF(OR(G102="channeling",G102="infusing"),"Magical",IF(G102="blocking","Anti-Physical",IF(G102="warding","Anti-Magical","Physical"))))</f>
        <v/>
      </c>
    </row>
    <row r="103">
      <c r="J103">
        <f>IF(G103="","",IFERROR(IF(G103="infusing",IFERROR(LOOKUP(2,1/ISNUMBER(SEARCH(_lookup!$D$3:$D$4,H103)),_lookup!$E$3:$E$4),"INT"),VLOOKUP(G103,_lookup!$A$3:$B$14,2,FALSE)),""))</f>
        <v/>
      </c>
      <c r="K103">
        <f>IF(F103&lt;&gt;"weapon","",IF(G103="miscellaneous","1-4",IF(I103="","",IFERROR(VLOOKUP(I103&amp;"|"&amp;IF(LEFT(H103,2)="2H",2,1)&amp;"|"&amp;IF(G103="slashing",1,0),_lookup!$G$3:$H$18,2,FALSE),""))))</f>
        <v/>
      </c>
      <c r="L103">
        <f>IF(K103="","",IF(OR(G103="channeling",G103="infusing"),"Magical",IF(G103="blocking","Anti-Physical",IF(G103="warding","Anti-Magical","Physical"))))</f>
        <v/>
      </c>
      <c r="O103">
        <f>IF(F103&lt;&gt;"armor","","TBD")</f>
        <v/>
      </c>
      <c r="P103">
        <f>IF(O103="","",IF(OR(G103="channeling",G103="infusing"),"Magical",IF(G103="blocking","Anti-Physical",IF(G103="warding","Anti-Magical","Physical"))))</f>
        <v/>
      </c>
    </row>
    <row r="104">
      <c r="J104">
        <f>IF(G104="","",IFERROR(IF(G104="infusing",IFERROR(LOOKUP(2,1/ISNUMBER(SEARCH(_lookup!$D$3:$D$4,H104)),_lookup!$E$3:$E$4),"INT"),VLOOKUP(G104,_lookup!$A$3:$B$14,2,FALSE)),""))</f>
        <v/>
      </c>
      <c r="K104">
        <f>IF(F104&lt;&gt;"weapon","",IF(G104="miscellaneous","1-4",IF(I104="","",IFERROR(VLOOKUP(I104&amp;"|"&amp;IF(LEFT(H104,2)="2H",2,1)&amp;"|"&amp;IF(G104="slashing",1,0),_lookup!$G$3:$H$18,2,FALSE),""))))</f>
        <v/>
      </c>
      <c r="L104">
        <f>IF(K104="","",IF(OR(G104="channeling",G104="infusing"),"Magical",IF(G104="blocking","Anti-Physical",IF(G104="warding","Anti-Magical","Physical"))))</f>
        <v/>
      </c>
      <c r="O104">
        <f>IF(F104&lt;&gt;"armor","","TBD")</f>
        <v/>
      </c>
      <c r="P104">
        <f>IF(O104="","",IF(OR(G104="channeling",G104="infusing"),"Magical",IF(G104="blocking","Anti-Physical",IF(G104="warding","Anti-Magical","Physical"))))</f>
        <v/>
      </c>
    </row>
    <row r="105">
      <c r="J105">
        <f>IF(G105="","",IFERROR(IF(G105="infusing",IFERROR(LOOKUP(2,1/ISNUMBER(SEARCH(_lookup!$D$3:$D$4,H105)),_lookup!$E$3:$E$4),"INT"),VLOOKUP(G105,_lookup!$A$3:$B$14,2,FALSE)),""))</f>
        <v/>
      </c>
      <c r="K105">
        <f>IF(F105&lt;&gt;"weapon","",IF(G105="miscellaneous","1-4",IF(I105="","",IFERROR(VLOOKUP(I105&amp;"|"&amp;IF(LEFT(H105,2)="2H",2,1)&amp;"|"&amp;IF(G105="slashing",1,0),_lookup!$G$3:$H$18,2,FALSE),""))))</f>
        <v/>
      </c>
      <c r="L105">
        <f>IF(K105="","",IF(OR(G105="channeling",G105="infusing"),"Magical",IF(G105="blocking","Anti-Physical",IF(G105="warding","Anti-Magical","Physical"))))</f>
        <v/>
      </c>
      <c r="O105">
        <f>IF(F105&lt;&gt;"armor","","TBD")</f>
        <v/>
      </c>
      <c r="P105">
        <f>IF(O105="","",IF(OR(G105="channeling",G105="infusing"),"Magical",IF(G105="blocking","Anti-Physical",IF(G105="warding","Anti-Magical","Physical"))))</f>
        <v/>
      </c>
    </row>
    <row r="106">
      <c r="J106">
        <f>IF(G106="","",IFERROR(IF(G106="infusing",IFERROR(LOOKUP(2,1/ISNUMBER(SEARCH(_lookup!$D$3:$D$4,H106)),_lookup!$E$3:$E$4),"INT"),VLOOKUP(G106,_lookup!$A$3:$B$14,2,FALSE)),""))</f>
        <v/>
      </c>
      <c r="K106">
        <f>IF(F106&lt;&gt;"weapon","",IF(G106="miscellaneous","1-4",IF(I106="","",IFERROR(VLOOKUP(I106&amp;"|"&amp;IF(LEFT(H106,2)="2H",2,1)&amp;"|"&amp;IF(G106="slashing",1,0),_lookup!$G$3:$H$18,2,FALSE),""))))</f>
        <v/>
      </c>
      <c r="L106">
        <f>IF(K106="","",IF(OR(G106="channeling",G106="infusing"),"Magical",IF(G106="blocking","Anti-Physical",IF(G106="warding","Anti-Magical","Physical"))))</f>
        <v/>
      </c>
      <c r="O106">
        <f>IF(F106&lt;&gt;"armor","","TBD")</f>
        <v/>
      </c>
      <c r="P106">
        <f>IF(O106="","",IF(OR(G106="channeling",G106="infusing"),"Magical",IF(G106="blocking","Anti-Physical",IF(G106="warding","Anti-Magical","Physical"))))</f>
        <v/>
      </c>
    </row>
    <row r="107">
      <c r="J107">
        <f>IF(G107="","",IFERROR(IF(G107="infusing",IFERROR(LOOKUP(2,1/ISNUMBER(SEARCH(_lookup!$D$3:$D$4,H107)),_lookup!$E$3:$E$4),"INT"),VLOOKUP(G107,_lookup!$A$3:$B$14,2,FALSE)),""))</f>
        <v/>
      </c>
      <c r="K107">
        <f>IF(F107&lt;&gt;"weapon","",IF(G107="miscellaneous","1-4",IF(I107="","",IFERROR(VLOOKUP(I107&amp;"|"&amp;IF(LEFT(H107,2)="2H",2,1)&amp;"|"&amp;IF(G107="slashing",1,0),_lookup!$G$3:$H$18,2,FALSE),""))))</f>
        <v/>
      </c>
      <c r="L107">
        <f>IF(K107="","",IF(OR(G107="channeling",G107="infusing"),"Magical",IF(G107="blocking","Anti-Physical",IF(G107="warding","Anti-Magical","Physical"))))</f>
        <v/>
      </c>
      <c r="O107">
        <f>IF(F107&lt;&gt;"armor","","TBD")</f>
        <v/>
      </c>
      <c r="P107">
        <f>IF(O107="","",IF(OR(G107="channeling",G107="infusing"),"Magical",IF(G107="blocking","Anti-Physical",IF(G107="warding","Anti-Magical","Physical"))))</f>
        <v/>
      </c>
    </row>
    <row r="108">
      <c r="J108">
        <f>IF(G108="","",IFERROR(IF(G108="infusing",IFERROR(LOOKUP(2,1/ISNUMBER(SEARCH(_lookup!$D$3:$D$4,H108)),_lookup!$E$3:$E$4),"INT"),VLOOKUP(G108,_lookup!$A$3:$B$14,2,FALSE)),""))</f>
        <v/>
      </c>
      <c r="K108">
        <f>IF(F108&lt;&gt;"weapon","",IF(G108="miscellaneous","1-4",IF(I108="","",IFERROR(VLOOKUP(I108&amp;"|"&amp;IF(LEFT(H108,2)="2H",2,1)&amp;"|"&amp;IF(G108="slashing",1,0),_lookup!$G$3:$H$18,2,FALSE),""))))</f>
        <v/>
      </c>
      <c r="L108">
        <f>IF(K108="","",IF(OR(G108="channeling",G108="infusing"),"Magical",IF(G108="blocking","Anti-Physical",IF(G108="warding","Anti-Magical","Physical"))))</f>
        <v/>
      </c>
      <c r="O108">
        <f>IF(F108&lt;&gt;"armor","","TBD")</f>
        <v/>
      </c>
      <c r="P108">
        <f>IF(O108="","",IF(OR(G108="channeling",G108="infusing"),"Magical",IF(G108="blocking","Anti-Physical",IF(G108="warding","Anti-Magical","Physical"))))</f>
        <v/>
      </c>
    </row>
    <row r="109">
      <c r="J109">
        <f>IF(G109="","",IFERROR(IF(G109="infusing",IFERROR(LOOKUP(2,1/ISNUMBER(SEARCH(_lookup!$D$3:$D$4,H109)),_lookup!$E$3:$E$4),"INT"),VLOOKUP(G109,_lookup!$A$3:$B$14,2,FALSE)),""))</f>
        <v/>
      </c>
      <c r="K109">
        <f>IF(F109&lt;&gt;"weapon","",IF(G109="miscellaneous","1-4",IF(I109="","",IFERROR(VLOOKUP(I109&amp;"|"&amp;IF(LEFT(H109,2)="2H",2,1)&amp;"|"&amp;IF(G109="slashing",1,0),_lookup!$G$3:$H$18,2,FALSE),""))))</f>
        <v/>
      </c>
      <c r="L109">
        <f>IF(K109="","",IF(OR(G109="channeling",G109="infusing"),"Magical",IF(G109="blocking","Anti-Physical",IF(G109="warding","Anti-Magical","Physical"))))</f>
        <v/>
      </c>
      <c r="O109">
        <f>IF(F109&lt;&gt;"armor","","TBD")</f>
        <v/>
      </c>
      <c r="P109">
        <f>IF(O109="","",IF(OR(G109="channeling",G109="infusing"),"Magical",IF(G109="blocking","Anti-Physical",IF(G109="warding","Anti-Magical","Physical"))))</f>
        <v/>
      </c>
    </row>
    <row r="110">
      <c r="J110">
        <f>IF(G110="","",IFERROR(IF(G110="infusing",IFERROR(LOOKUP(2,1/ISNUMBER(SEARCH(_lookup!$D$3:$D$4,H110)),_lookup!$E$3:$E$4),"INT"),VLOOKUP(G110,_lookup!$A$3:$B$14,2,FALSE)),""))</f>
        <v/>
      </c>
      <c r="K110">
        <f>IF(F110&lt;&gt;"weapon","",IF(G110="miscellaneous","1-4",IF(I110="","",IFERROR(VLOOKUP(I110&amp;"|"&amp;IF(LEFT(H110,2)="2H",2,1)&amp;"|"&amp;IF(G110="slashing",1,0),_lookup!$G$3:$H$18,2,FALSE),""))))</f>
        <v/>
      </c>
      <c r="L110">
        <f>IF(K110="","",IF(OR(G110="channeling",G110="infusing"),"Magical",IF(G110="blocking","Anti-Physical",IF(G110="warding","Anti-Magical","Physical"))))</f>
        <v/>
      </c>
      <c r="O110">
        <f>IF(F110&lt;&gt;"armor","","TBD")</f>
        <v/>
      </c>
      <c r="P110">
        <f>IF(O110="","",IF(OR(G110="channeling",G110="infusing"),"Magical",IF(G110="blocking","Anti-Physical",IF(G110="warding","Anti-Magical","Physical"))))</f>
        <v/>
      </c>
    </row>
    <row r="111">
      <c r="J111">
        <f>IF(G111="","",IFERROR(IF(G111="infusing",IFERROR(LOOKUP(2,1/ISNUMBER(SEARCH(_lookup!$D$3:$D$4,H111)),_lookup!$E$3:$E$4),"INT"),VLOOKUP(G111,_lookup!$A$3:$B$14,2,FALSE)),""))</f>
        <v/>
      </c>
      <c r="K111">
        <f>IF(F111&lt;&gt;"weapon","",IF(G111="miscellaneous","1-4",IF(I111="","",IFERROR(VLOOKUP(I111&amp;"|"&amp;IF(LEFT(H111,2)="2H",2,1)&amp;"|"&amp;IF(G111="slashing",1,0),_lookup!$G$3:$H$18,2,FALSE),""))))</f>
        <v/>
      </c>
      <c r="L111">
        <f>IF(K111="","",IF(OR(G111="channeling",G111="infusing"),"Magical",IF(G111="blocking","Anti-Physical",IF(G111="warding","Anti-Magical","Physical"))))</f>
        <v/>
      </c>
      <c r="O111">
        <f>IF(F111&lt;&gt;"armor","","TBD")</f>
        <v/>
      </c>
      <c r="P111">
        <f>IF(O111="","",IF(OR(G111="channeling",G111="infusing"),"Magical",IF(G111="blocking","Anti-Physical",IF(G111="warding","Anti-Magical","Physical"))))</f>
        <v/>
      </c>
    </row>
    <row r="112">
      <c r="J112">
        <f>IF(G112="","",IFERROR(IF(G112="infusing",IFERROR(LOOKUP(2,1/ISNUMBER(SEARCH(_lookup!$D$3:$D$4,H112)),_lookup!$E$3:$E$4),"INT"),VLOOKUP(G112,_lookup!$A$3:$B$14,2,FALSE)),""))</f>
        <v/>
      </c>
      <c r="K112">
        <f>IF(F112&lt;&gt;"weapon","",IF(G112="miscellaneous","1-4",IF(I112="","",IFERROR(VLOOKUP(I112&amp;"|"&amp;IF(LEFT(H112,2)="2H",2,1)&amp;"|"&amp;IF(G112="slashing",1,0),_lookup!$G$3:$H$18,2,FALSE),""))))</f>
        <v/>
      </c>
      <c r="L112">
        <f>IF(K112="","",IF(OR(G112="channeling",G112="infusing"),"Magical",IF(G112="blocking","Anti-Physical",IF(G112="warding","Anti-Magical","Physical"))))</f>
        <v/>
      </c>
      <c r="O112">
        <f>IF(F112&lt;&gt;"armor","","TBD")</f>
        <v/>
      </c>
      <c r="P112">
        <f>IF(O112="","",IF(OR(G112="channeling",G112="infusing"),"Magical",IF(G112="blocking","Anti-Physical",IF(G112="warding","Anti-Magical","Physical"))))</f>
        <v/>
      </c>
    </row>
    <row r="113">
      <c r="J113">
        <f>IF(G113="","",IFERROR(IF(G113="infusing",IFERROR(LOOKUP(2,1/ISNUMBER(SEARCH(_lookup!$D$3:$D$4,H113)),_lookup!$E$3:$E$4),"INT"),VLOOKUP(G113,_lookup!$A$3:$B$14,2,FALSE)),""))</f>
        <v/>
      </c>
      <c r="K113">
        <f>IF(F113&lt;&gt;"weapon","",IF(G113="miscellaneous","1-4",IF(I113="","",IFERROR(VLOOKUP(I113&amp;"|"&amp;IF(LEFT(H113,2)="2H",2,1)&amp;"|"&amp;IF(G113="slashing",1,0),_lookup!$G$3:$H$18,2,FALSE),""))))</f>
        <v/>
      </c>
      <c r="L113">
        <f>IF(K113="","",IF(OR(G113="channeling",G113="infusing"),"Magical",IF(G113="blocking","Anti-Physical",IF(G113="warding","Anti-Magical","Physical"))))</f>
        <v/>
      </c>
      <c r="O113">
        <f>IF(F113&lt;&gt;"armor","","TBD")</f>
        <v/>
      </c>
      <c r="P113">
        <f>IF(O113="","",IF(OR(G113="channeling",G113="infusing"),"Magical",IF(G113="blocking","Anti-Physical",IF(G113="warding","Anti-Magical","Physical"))))</f>
        <v/>
      </c>
    </row>
    <row r="114">
      <c r="J114">
        <f>IF(G114="","",IFERROR(IF(G114="infusing",IFERROR(LOOKUP(2,1/ISNUMBER(SEARCH(_lookup!$D$3:$D$4,H114)),_lookup!$E$3:$E$4),"INT"),VLOOKUP(G114,_lookup!$A$3:$B$14,2,FALSE)),""))</f>
        <v/>
      </c>
      <c r="K114">
        <f>IF(F114&lt;&gt;"weapon","",IF(G114="miscellaneous","1-4",IF(I114="","",IFERROR(VLOOKUP(I114&amp;"|"&amp;IF(LEFT(H114,2)="2H",2,1)&amp;"|"&amp;IF(G114="slashing",1,0),_lookup!$G$3:$H$18,2,FALSE),""))))</f>
        <v/>
      </c>
      <c r="L114">
        <f>IF(K114="","",IF(OR(G114="channeling",G114="infusing"),"Magical",IF(G114="blocking","Anti-Physical",IF(G114="warding","Anti-Magical","Physical"))))</f>
        <v/>
      </c>
      <c r="O114">
        <f>IF(F114&lt;&gt;"armor","","TBD")</f>
        <v/>
      </c>
      <c r="P114">
        <f>IF(O114="","",IF(OR(G114="channeling",G114="infusing"),"Magical",IF(G114="blocking","Anti-Physical",IF(G114="warding","Anti-Magical","Physical"))))</f>
        <v/>
      </c>
    </row>
    <row r="115">
      <c r="J115">
        <f>IF(G115="","",IFERROR(IF(G115="infusing",IFERROR(LOOKUP(2,1/ISNUMBER(SEARCH(_lookup!$D$3:$D$4,H115)),_lookup!$E$3:$E$4),"INT"),VLOOKUP(G115,_lookup!$A$3:$B$14,2,FALSE)),""))</f>
        <v/>
      </c>
      <c r="K115">
        <f>IF(F115&lt;&gt;"weapon","",IF(G115="miscellaneous","1-4",IF(I115="","",IFERROR(VLOOKUP(I115&amp;"|"&amp;IF(LEFT(H115,2)="2H",2,1)&amp;"|"&amp;IF(G115="slashing",1,0),_lookup!$G$3:$H$18,2,FALSE),""))))</f>
        <v/>
      </c>
      <c r="L115">
        <f>IF(K115="","",IF(OR(G115="channeling",G115="infusing"),"Magical",IF(G115="blocking","Anti-Physical",IF(G115="warding","Anti-Magical","Physical"))))</f>
        <v/>
      </c>
      <c r="O115">
        <f>IF(F115&lt;&gt;"armor","","TBD")</f>
        <v/>
      </c>
      <c r="P115">
        <f>IF(O115="","",IF(OR(G115="channeling",G115="infusing"),"Magical",IF(G115="blocking","Anti-Physical",IF(G115="warding","Anti-Magical","Physical"))))</f>
        <v/>
      </c>
    </row>
    <row r="116">
      <c r="J116">
        <f>IF(G116="","",IFERROR(IF(G116="infusing",IFERROR(LOOKUP(2,1/ISNUMBER(SEARCH(_lookup!$D$3:$D$4,H116)),_lookup!$E$3:$E$4),"INT"),VLOOKUP(G116,_lookup!$A$3:$B$14,2,FALSE)),""))</f>
        <v/>
      </c>
      <c r="K116">
        <f>IF(F116&lt;&gt;"weapon","",IF(G116="miscellaneous","1-4",IF(I116="","",IFERROR(VLOOKUP(I116&amp;"|"&amp;IF(LEFT(H116,2)="2H",2,1)&amp;"|"&amp;IF(G116="slashing",1,0),_lookup!$G$3:$H$18,2,FALSE),""))))</f>
        <v/>
      </c>
      <c r="L116">
        <f>IF(K116="","",IF(OR(G116="channeling",G116="infusing"),"Magical",IF(G116="blocking","Anti-Physical",IF(G116="warding","Anti-Magical","Physical"))))</f>
        <v/>
      </c>
      <c r="O116">
        <f>IF(F116&lt;&gt;"armor","","TBD")</f>
        <v/>
      </c>
      <c r="P116">
        <f>IF(O116="","",IF(OR(G116="channeling",G116="infusing"),"Magical",IF(G116="blocking","Anti-Physical",IF(G116="warding","Anti-Magical","Physical"))))</f>
        <v/>
      </c>
    </row>
    <row r="117">
      <c r="J117">
        <f>IF(G117="","",IFERROR(IF(G117="infusing",IFERROR(LOOKUP(2,1/ISNUMBER(SEARCH(_lookup!$D$3:$D$4,H117)),_lookup!$E$3:$E$4),"INT"),VLOOKUP(G117,_lookup!$A$3:$B$14,2,FALSE)),""))</f>
        <v/>
      </c>
      <c r="K117">
        <f>IF(F117&lt;&gt;"weapon","",IF(G117="miscellaneous","1-4",IF(I117="","",IFERROR(VLOOKUP(I117&amp;"|"&amp;IF(LEFT(H117,2)="2H",2,1)&amp;"|"&amp;IF(G117="slashing",1,0),_lookup!$G$3:$H$18,2,FALSE),""))))</f>
        <v/>
      </c>
      <c r="L117">
        <f>IF(K117="","",IF(OR(G117="channeling",G117="infusing"),"Magical",IF(G117="blocking","Anti-Physical",IF(G117="warding","Anti-Magical","Physical"))))</f>
        <v/>
      </c>
      <c r="O117">
        <f>IF(F117&lt;&gt;"armor","","TBD")</f>
        <v/>
      </c>
      <c r="P117">
        <f>IF(O117="","",IF(OR(G117="channeling",G117="infusing"),"Magical",IF(G117="blocking","Anti-Physical",IF(G117="warding","Anti-Magical","Physical"))))</f>
        <v/>
      </c>
    </row>
    <row r="118">
      <c r="J118">
        <f>IF(G118="","",IFERROR(IF(G118="infusing",IFERROR(LOOKUP(2,1/ISNUMBER(SEARCH(_lookup!$D$3:$D$4,H118)),_lookup!$E$3:$E$4),"INT"),VLOOKUP(G118,_lookup!$A$3:$B$14,2,FALSE)),""))</f>
        <v/>
      </c>
      <c r="K118">
        <f>IF(F118&lt;&gt;"weapon","",IF(G118="miscellaneous","1-4",IF(I118="","",IFERROR(VLOOKUP(I118&amp;"|"&amp;IF(LEFT(H118,2)="2H",2,1)&amp;"|"&amp;IF(G118="slashing",1,0),_lookup!$G$3:$H$18,2,FALSE),""))))</f>
        <v/>
      </c>
      <c r="L118">
        <f>IF(K118="","",IF(OR(G118="channeling",G118="infusing"),"Magical",IF(G118="blocking","Anti-Physical",IF(G118="warding","Anti-Magical","Physical"))))</f>
        <v/>
      </c>
      <c r="O118">
        <f>IF(F118&lt;&gt;"armor","","TBD")</f>
        <v/>
      </c>
      <c r="P118">
        <f>IF(O118="","",IF(OR(G118="channeling",G118="infusing"),"Magical",IF(G118="blocking","Anti-Physical",IF(G118="warding","Anti-Magical","Physical"))))</f>
        <v/>
      </c>
    </row>
    <row r="119">
      <c r="J119">
        <f>IF(G119="","",IFERROR(IF(G119="infusing",IFERROR(LOOKUP(2,1/ISNUMBER(SEARCH(_lookup!$D$3:$D$4,H119)),_lookup!$E$3:$E$4),"INT"),VLOOKUP(G119,_lookup!$A$3:$B$14,2,FALSE)),""))</f>
        <v/>
      </c>
      <c r="K119">
        <f>IF(F119&lt;&gt;"weapon","",IF(G119="miscellaneous","1-4",IF(I119="","",IFERROR(VLOOKUP(I119&amp;"|"&amp;IF(LEFT(H119,2)="2H",2,1)&amp;"|"&amp;IF(G119="slashing",1,0),_lookup!$G$3:$H$18,2,FALSE),""))))</f>
        <v/>
      </c>
      <c r="L119">
        <f>IF(K119="","",IF(OR(G119="channeling",G119="infusing"),"Magical",IF(G119="blocking","Anti-Physical",IF(G119="warding","Anti-Magical","Physical"))))</f>
        <v/>
      </c>
      <c r="O119">
        <f>IF(F119&lt;&gt;"armor","","TBD")</f>
        <v/>
      </c>
      <c r="P119">
        <f>IF(O119="","",IF(OR(G119="channeling",G119="infusing"),"Magical",IF(G119="blocking","Anti-Physical",IF(G119="warding","Anti-Magical","Physical"))))</f>
        <v/>
      </c>
    </row>
    <row r="120">
      <c r="J120">
        <f>IF(G120="","",IFERROR(IF(G120="infusing",IFERROR(LOOKUP(2,1/ISNUMBER(SEARCH(_lookup!$D$3:$D$4,H120)),_lookup!$E$3:$E$4),"INT"),VLOOKUP(G120,_lookup!$A$3:$B$14,2,FALSE)),""))</f>
        <v/>
      </c>
      <c r="K120">
        <f>IF(F120&lt;&gt;"weapon","",IF(G120="miscellaneous","1-4",IF(I120="","",IFERROR(VLOOKUP(I120&amp;"|"&amp;IF(LEFT(H120,2)="2H",2,1)&amp;"|"&amp;IF(G120="slashing",1,0),_lookup!$G$3:$H$18,2,FALSE),""))))</f>
        <v/>
      </c>
      <c r="L120">
        <f>IF(K120="","",IF(OR(G120="channeling",G120="infusing"),"Magical",IF(G120="blocking","Anti-Physical",IF(G120="warding","Anti-Magical","Physical"))))</f>
        <v/>
      </c>
      <c r="O120">
        <f>IF(F120&lt;&gt;"armor","","TBD")</f>
        <v/>
      </c>
      <c r="P120">
        <f>IF(O120="","",IF(OR(G120="channeling",G120="infusing"),"Magical",IF(G120="blocking","Anti-Physical",IF(G120="warding","Anti-Magical","Physical"))))</f>
        <v/>
      </c>
    </row>
    <row r="121">
      <c r="J121">
        <f>IF(G121="","",IFERROR(IF(G121="infusing",IFERROR(LOOKUP(2,1/ISNUMBER(SEARCH(_lookup!$D$3:$D$4,H121)),_lookup!$E$3:$E$4),"INT"),VLOOKUP(G121,_lookup!$A$3:$B$14,2,FALSE)),""))</f>
        <v/>
      </c>
      <c r="K121">
        <f>IF(F121&lt;&gt;"weapon","",IF(G121="miscellaneous","1-4",IF(I121="","",IFERROR(VLOOKUP(I121&amp;"|"&amp;IF(LEFT(H121,2)="2H",2,1)&amp;"|"&amp;IF(G121="slashing",1,0),_lookup!$G$3:$H$18,2,FALSE),""))))</f>
        <v/>
      </c>
      <c r="L121">
        <f>IF(K121="","",IF(OR(G121="channeling",G121="infusing"),"Magical",IF(G121="blocking","Anti-Physical",IF(G121="warding","Anti-Magical","Physical"))))</f>
        <v/>
      </c>
      <c r="O121">
        <f>IF(F121&lt;&gt;"armor","","TBD")</f>
        <v/>
      </c>
      <c r="P121">
        <f>IF(O121="","",IF(OR(G121="channeling",G121="infusing"),"Magical",IF(G121="blocking","Anti-Physical",IF(G121="warding","Anti-Magical","Physical"))))</f>
        <v/>
      </c>
    </row>
    <row r="122">
      <c r="J122">
        <f>IF(G122="","",IFERROR(IF(G122="infusing",IFERROR(LOOKUP(2,1/ISNUMBER(SEARCH(_lookup!$D$3:$D$4,H122)),_lookup!$E$3:$E$4),"INT"),VLOOKUP(G122,_lookup!$A$3:$B$14,2,FALSE)),""))</f>
        <v/>
      </c>
      <c r="K122">
        <f>IF(F122&lt;&gt;"weapon","",IF(G122="miscellaneous","1-4",IF(I122="","",IFERROR(VLOOKUP(I122&amp;"|"&amp;IF(LEFT(H122,2)="2H",2,1)&amp;"|"&amp;IF(G122="slashing",1,0),_lookup!$G$3:$H$18,2,FALSE),""))))</f>
        <v/>
      </c>
      <c r="L122">
        <f>IF(K122="","",IF(OR(G122="channeling",G122="infusing"),"Magical",IF(G122="blocking","Anti-Physical",IF(G122="warding","Anti-Magical","Physical"))))</f>
        <v/>
      </c>
      <c r="O122">
        <f>IF(F122&lt;&gt;"armor","","TBD")</f>
        <v/>
      </c>
      <c r="P122">
        <f>IF(O122="","",IF(OR(G122="channeling",G122="infusing"),"Magical",IF(G122="blocking","Anti-Physical",IF(G122="warding","Anti-Magical","Physical"))))</f>
        <v/>
      </c>
    </row>
    <row r="123">
      <c r="J123">
        <f>IF(G123="","",IFERROR(IF(G123="infusing",IFERROR(LOOKUP(2,1/ISNUMBER(SEARCH(_lookup!$D$3:$D$4,H123)),_lookup!$E$3:$E$4),"INT"),VLOOKUP(G123,_lookup!$A$3:$B$14,2,FALSE)),""))</f>
        <v/>
      </c>
      <c r="K123">
        <f>IF(F123&lt;&gt;"weapon","",IF(G123="miscellaneous","1-4",IF(I123="","",IFERROR(VLOOKUP(I123&amp;"|"&amp;IF(LEFT(H123,2)="2H",2,1)&amp;"|"&amp;IF(G123="slashing",1,0),_lookup!$G$3:$H$18,2,FALSE),""))))</f>
        <v/>
      </c>
      <c r="L123">
        <f>IF(K123="","",IF(OR(G123="channeling",G123="infusing"),"Magical",IF(G123="blocking","Anti-Physical",IF(G123="warding","Anti-Magical","Physical"))))</f>
        <v/>
      </c>
      <c r="O123">
        <f>IF(F123&lt;&gt;"armor","","TBD")</f>
        <v/>
      </c>
      <c r="P123">
        <f>IF(O123="","",IF(OR(G123="channeling",G123="infusing"),"Magical",IF(G123="blocking","Anti-Physical",IF(G123="warding","Anti-Magical","Physical"))))</f>
        <v/>
      </c>
    </row>
    <row r="124">
      <c r="J124">
        <f>IF(G124="","",IFERROR(IF(G124="infusing",IFERROR(LOOKUP(2,1/ISNUMBER(SEARCH(_lookup!$D$3:$D$4,H124)),_lookup!$E$3:$E$4),"INT"),VLOOKUP(G124,_lookup!$A$3:$B$14,2,FALSE)),""))</f>
        <v/>
      </c>
      <c r="K124">
        <f>IF(F124&lt;&gt;"weapon","",IF(G124="miscellaneous","1-4",IF(I124="","",IFERROR(VLOOKUP(I124&amp;"|"&amp;IF(LEFT(H124,2)="2H",2,1)&amp;"|"&amp;IF(G124="slashing",1,0),_lookup!$G$3:$H$18,2,FALSE),""))))</f>
        <v/>
      </c>
      <c r="L124">
        <f>IF(K124="","",IF(OR(G124="channeling",G124="infusing"),"Magical",IF(G124="blocking","Anti-Physical",IF(G124="warding","Anti-Magical","Physical"))))</f>
        <v/>
      </c>
      <c r="O124">
        <f>IF(F124&lt;&gt;"armor","","TBD")</f>
        <v/>
      </c>
      <c r="P124">
        <f>IF(O124="","",IF(OR(G124="channeling",G124="infusing"),"Magical",IF(G124="blocking","Anti-Physical",IF(G124="warding","Anti-Magical","Physical"))))</f>
        <v/>
      </c>
    </row>
    <row r="125">
      <c r="J125">
        <f>IF(G125="","",IFERROR(IF(G125="infusing",IFERROR(LOOKUP(2,1/ISNUMBER(SEARCH(_lookup!$D$3:$D$4,H125)),_lookup!$E$3:$E$4),"INT"),VLOOKUP(G125,_lookup!$A$3:$B$14,2,FALSE)),""))</f>
        <v/>
      </c>
      <c r="K125">
        <f>IF(F125&lt;&gt;"weapon","",IF(G125="miscellaneous","1-4",IF(I125="","",IFERROR(VLOOKUP(I125&amp;"|"&amp;IF(LEFT(H125,2)="2H",2,1)&amp;"|"&amp;IF(G125="slashing",1,0),_lookup!$G$3:$H$18,2,FALSE),""))))</f>
        <v/>
      </c>
      <c r="L125">
        <f>IF(K125="","",IF(OR(G125="channeling",G125="infusing"),"Magical",IF(G125="blocking","Anti-Physical",IF(G125="warding","Anti-Magical","Physical"))))</f>
        <v/>
      </c>
      <c r="O125">
        <f>IF(F125&lt;&gt;"armor","","TBD")</f>
        <v/>
      </c>
      <c r="P125">
        <f>IF(O125="","",IF(OR(G125="channeling",G125="infusing"),"Magical",IF(G125="blocking","Anti-Physical",IF(G125="warding","Anti-Magical","Physical"))))</f>
        <v/>
      </c>
    </row>
    <row r="126">
      <c r="J126">
        <f>IF(G126="","",IFERROR(IF(G126="infusing",IFERROR(LOOKUP(2,1/ISNUMBER(SEARCH(_lookup!$D$3:$D$4,H126)),_lookup!$E$3:$E$4),"INT"),VLOOKUP(G126,_lookup!$A$3:$B$14,2,FALSE)),""))</f>
        <v/>
      </c>
      <c r="K126">
        <f>IF(F126&lt;&gt;"weapon","",IF(G126="miscellaneous","1-4",IF(I126="","",IFERROR(VLOOKUP(I126&amp;"|"&amp;IF(LEFT(H126,2)="2H",2,1)&amp;"|"&amp;IF(G126="slashing",1,0),_lookup!$G$3:$H$18,2,FALSE),""))))</f>
        <v/>
      </c>
      <c r="L126">
        <f>IF(K126="","",IF(OR(G126="channeling",G126="infusing"),"Magical",IF(G126="blocking","Anti-Physical",IF(G126="warding","Anti-Magical","Physical"))))</f>
        <v/>
      </c>
      <c r="O126">
        <f>IF(F126&lt;&gt;"armor","","TBD")</f>
        <v/>
      </c>
      <c r="P126">
        <f>IF(O126="","",IF(OR(G126="channeling",G126="infusing"),"Magical",IF(G126="blocking","Anti-Physical",IF(G126="warding","Anti-Magical","Physical"))))</f>
        <v/>
      </c>
    </row>
    <row r="127">
      <c r="J127">
        <f>IF(G127="","",IFERROR(IF(G127="infusing",IFERROR(LOOKUP(2,1/ISNUMBER(SEARCH(_lookup!$D$3:$D$4,H127)),_lookup!$E$3:$E$4),"INT"),VLOOKUP(G127,_lookup!$A$3:$B$14,2,FALSE)),""))</f>
        <v/>
      </c>
      <c r="K127">
        <f>IF(F127&lt;&gt;"weapon","",IF(G127="miscellaneous","1-4",IF(I127="","",IFERROR(VLOOKUP(I127&amp;"|"&amp;IF(LEFT(H127,2)="2H",2,1)&amp;"|"&amp;IF(G127="slashing",1,0),_lookup!$G$3:$H$18,2,FALSE),""))))</f>
        <v/>
      </c>
      <c r="L127">
        <f>IF(K127="","",IF(OR(G127="channeling",G127="infusing"),"Magical",IF(G127="blocking","Anti-Physical",IF(G127="warding","Anti-Magical","Physical"))))</f>
        <v/>
      </c>
      <c r="O127">
        <f>IF(F127&lt;&gt;"armor","","TBD")</f>
        <v/>
      </c>
      <c r="P127">
        <f>IF(O127="","",IF(OR(G127="channeling",G127="infusing"),"Magical",IF(G127="blocking","Anti-Physical",IF(G127="warding","Anti-Magical","Physical"))))</f>
        <v/>
      </c>
    </row>
    <row r="128">
      <c r="J128">
        <f>IF(G128="","",IFERROR(IF(G128="infusing",IFERROR(LOOKUP(2,1/ISNUMBER(SEARCH(_lookup!$D$3:$D$4,H128)),_lookup!$E$3:$E$4),"INT"),VLOOKUP(G128,_lookup!$A$3:$B$14,2,FALSE)),""))</f>
        <v/>
      </c>
      <c r="K128">
        <f>IF(F128&lt;&gt;"weapon","",IF(G128="miscellaneous","1-4",IF(I128="","",IFERROR(VLOOKUP(I128&amp;"|"&amp;IF(LEFT(H128,2)="2H",2,1)&amp;"|"&amp;IF(G128="slashing",1,0),_lookup!$G$3:$H$18,2,FALSE),""))))</f>
        <v/>
      </c>
      <c r="L128">
        <f>IF(K128="","",IF(OR(G128="channeling",G128="infusing"),"Magical",IF(G128="blocking","Anti-Physical",IF(G128="warding","Anti-Magical","Physical"))))</f>
        <v/>
      </c>
      <c r="O128">
        <f>IF(F128&lt;&gt;"armor","","TBD")</f>
        <v/>
      </c>
      <c r="P128">
        <f>IF(O128="","",IF(OR(G128="channeling",G128="infusing"),"Magical",IF(G128="blocking","Anti-Physical",IF(G128="warding","Anti-Magical","Physical"))))</f>
        <v/>
      </c>
      <c r="Y128" s="7" t="n"/>
    </row>
    <row r="129">
      <c r="J129">
        <f>IF(G129="","",IFERROR(IF(G129="infusing",IFERROR(LOOKUP(2,1/ISNUMBER(SEARCH(_lookup!$D$3:$D$4,H129)),_lookup!$E$3:$E$4),"INT"),VLOOKUP(G129,_lookup!$A$3:$B$14,2,FALSE)),""))</f>
        <v/>
      </c>
      <c r="K129">
        <f>IF(F129&lt;&gt;"weapon","",IF(G129="miscellaneous","1-4",IF(I129="","",IFERROR(VLOOKUP(I129&amp;"|"&amp;IF(LEFT(H129,2)="2H",2,1)&amp;"|"&amp;IF(G129="slashing",1,0),_lookup!$G$3:$H$18,2,FALSE),""))))</f>
        <v/>
      </c>
      <c r="L129">
        <f>IF(K129="","",IF(OR(G129="channeling",G129="infusing"),"Magical",IF(G129="blocking","Anti-Physical",IF(G129="warding","Anti-Magical","Physical"))))</f>
        <v/>
      </c>
      <c r="O129">
        <f>IF(F129&lt;&gt;"armor","","TBD")</f>
        <v/>
      </c>
      <c r="P129">
        <f>IF(O129="","",IF(OR(G129="channeling",G129="infusing"),"Magical",IF(G129="blocking","Anti-Physical",IF(G129="warding","Anti-Magical","Physical"))))</f>
        <v/>
      </c>
    </row>
    <row r="130">
      <c r="J130">
        <f>IF(G130="","",IFERROR(IF(G130="infusing",IFERROR(LOOKUP(2,1/ISNUMBER(SEARCH(_lookup!$D$3:$D$4,H130)),_lookup!$E$3:$E$4),"INT"),VLOOKUP(G130,_lookup!$A$3:$B$14,2,FALSE)),""))</f>
        <v/>
      </c>
      <c r="K130">
        <f>IF(F130&lt;&gt;"weapon","",IF(G130="miscellaneous","1-4",IF(I130="","",IFERROR(VLOOKUP(I130&amp;"|"&amp;IF(LEFT(H130,2)="2H",2,1)&amp;"|"&amp;IF(G130="slashing",1,0),_lookup!$G$3:$H$18,2,FALSE),""))))</f>
        <v/>
      </c>
      <c r="L130">
        <f>IF(K130="","",IF(OR(G130="channeling",G130="infusing"),"Magical",IF(G130="blocking","Anti-Physical",IF(G130="warding","Anti-Magical","Physical"))))</f>
        <v/>
      </c>
      <c r="O130">
        <f>IF(F130&lt;&gt;"armor","","TBD")</f>
        <v/>
      </c>
      <c r="P130">
        <f>IF(O130="","",IF(OR(G130="channeling",G130="infusing"),"Magical",IF(G130="blocking","Anti-Physical",IF(G130="warding","Anti-Magical","Physical"))))</f>
        <v/>
      </c>
    </row>
    <row r="131">
      <c r="J131">
        <f>IF(G131="","",IFERROR(IF(G131="infusing",IFERROR(LOOKUP(2,1/ISNUMBER(SEARCH(_lookup!$D$3:$D$4,H131)),_lookup!$E$3:$E$4),"INT"),VLOOKUP(G131,_lookup!$A$3:$B$14,2,FALSE)),""))</f>
        <v/>
      </c>
      <c r="K131">
        <f>IF(F131&lt;&gt;"weapon","",IF(G131="miscellaneous","1-4",IF(I131="","",IFERROR(VLOOKUP(I131&amp;"|"&amp;IF(LEFT(H131,2)="2H",2,1)&amp;"|"&amp;IF(G131="slashing",1,0),_lookup!$G$3:$H$18,2,FALSE),""))))</f>
        <v/>
      </c>
      <c r="L131">
        <f>IF(K131="","",IF(OR(G131="channeling",G131="infusing"),"Magical",IF(G131="blocking","Anti-Physical",IF(G131="warding","Anti-Magical","Physical"))))</f>
        <v/>
      </c>
      <c r="O131">
        <f>IF(F131&lt;&gt;"armor","","TBD")</f>
        <v/>
      </c>
      <c r="P131">
        <f>IF(O131="","",IF(OR(G131="channeling",G131="infusing"),"Magical",IF(G131="blocking","Anti-Physical",IF(G131="warding","Anti-Magical","Physical"))))</f>
        <v/>
      </c>
    </row>
    <row r="132">
      <c r="J132">
        <f>IF(G132="","",IFERROR(IF(G132="infusing",IFERROR(LOOKUP(2,1/ISNUMBER(SEARCH(_lookup!$D$3:$D$4,H132)),_lookup!$E$3:$E$4),"INT"),VLOOKUP(G132,_lookup!$A$3:$B$14,2,FALSE)),""))</f>
        <v/>
      </c>
      <c r="K132">
        <f>IF(F132&lt;&gt;"weapon","",IF(G132="miscellaneous","1-4",IF(I132="","",IFERROR(VLOOKUP(I132&amp;"|"&amp;IF(LEFT(H132,2)="2H",2,1)&amp;"|"&amp;IF(G132="slashing",1,0),_lookup!$G$3:$H$18,2,FALSE),""))))</f>
        <v/>
      </c>
      <c r="L132">
        <f>IF(K132="","",IF(OR(G132="channeling",G132="infusing"),"Magical",IF(G132="blocking","Anti-Physical",IF(G132="warding","Anti-Magical","Physical"))))</f>
        <v/>
      </c>
      <c r="O132">
        <f>IF(F132&lt;&gt;"armor","","TBD")</f>
        <v/>
      </c>
      <c r="P132">
        <f>IF(O132="","",IF(OR(G132="channeling",G132="infusing"),"Magical",IF(G132="blocking","Anti-Physical",IF(G132="warding","Anti-Magical","Physical"))))</f>
        <v/>
      </c>
    </row>
    <row r="133">
      <c r="J133">
        <f>IF(G133="","",IFERROR(IF(G133="infusing",IFERROR(LOOKUP(2,1/ISNUMBER(SEARCH(_lookup!$D$3:$D$4,H133)),_lookup!$E$3:$E$4),"INT"),VLOOKUP(G133,_lookup!$A$3:$B$14,2,FALSE)),""))</f>
        <v/>
      </c>
      <c r="K133">
        <f>IF(F133&lt;&gt;"weapon","",IF(G133="miscellaneous","1-4",IF(I133="","",IFERROR(VLOOKUP(I133&amp;"|"&amp;IF(LEFT(H133,2)="2H",2,1)&amp;"|"&amp;IF(G133="slashing",1,0),_lookup!$G$3:$H$18,2,FALSE),""))))</f>
        <v/>
      </c>
      <c r="L133">
        <f>IF(K133="","",IF(OR(G133="channeling",G133="infusing"),"Magical",IF(G133="blocking","Anti-Physical",IF(G133="warding","Anti-Magical","Physical"))))</f>
        <v/>
      </c>
      <c r="O133">
        <f>IF(F133&lt;&gt;"armor","","TBD")</f>
        <v/>
      </c>
      <c r="P133">
        <f>IF(O133="","",IF(OR(G133="channeling",G133="infusing"),"Magical",IF(G133="blocking","Anti-Physical",IF(G133="warding","Anti-Magical","Physical"))))</f>
        <v/>
      </c>
    </row>
    <row r="134">
      <c r="J134">
        <f>IF(G134="","",IFERROR(IF(G134="infusing",IFERROR(LOOKUP(2,1/ISNUMBER(SEARCH(_lookup!$D$3:$D$4,H134)),_lookup!$E$3:$E$4),"INT"),VLOOKUP(G134,_lookup!$A$3:$B$14,2,FALSE)),""))</f>
        <v/>
      </c>
      <c r="K134">
        <f>IF(F134&lt;&gt;"weapon","",IF(G134="miscellaneous","1-4",IF(I134="","",IFERROR(VLOOKUP(I134&amp;"|"&amp;IF(LEFT(H134,2)="2H",2,1)&amp;"|"&amp;IF(G134="slashing",1,0),_lookup!$G$3:$H$18,2,FALSE),""))))</f>
        <v/>
      </c>
      <c r="L134">
        <f>IF(K134="","",IF(OR(G134="channeling",G134="infusing"),"Magical",IF(G134="blocking","Anti-Physical",IF(G134="warding","Anti-Magical","Physical"))))</f>
        <v/>
      </c>
      <c r="O134">
        <f>IF(F134&lt;&gt;"armor","","TBD")</f>
        <v/>
      </c>
      <c r="P134">
        <f>IF(O134="","",IF(OR(G134="channeling",G134="infusing"),"Magical",IF(G134="blocking","Anti-Physical",IF(G134="warding","Anti-Magical","Physical"))))</f>
        <v/>
      </c>
    </row>
    <row r="135">
      <c r="J135">
        <f>IF(G135="","",IFERROR(IF(G135="infusing",IFERROR(LOOKUP(2,1/ISNUMBER(SEARCH(_lookup!$D$3:$D$4,H135)),_lookup!$E$3:$E$4),"INT"),VLOOKUP(G135,_lookup!$A$3:$B$14,2,FALSE)),""))</f>
        <v/>
      </c>
      <c r="K135">
        <f>IF(F135&lt;&gt;"weapon","",IF(G135="miscellaneous","1-4",IF(I135="","",IFERROR(VLOOKUP(I135&amp;"|"&amp;IF(LEFT(H135,2)="2H",2,1)&amp;"|"&amp;IF(G135="slashing",1,0),_lookup!$G$3:$H$18,2,FALSE),""))))</f>
        <v/>
      </c>
      <c r="L135">
        <f>IF(K135="","",IF(OR(G135="channeling",G135="infusing"),"Magical",IF(G135="blocking","Anti-Physical",IF(G135="warding","Anti-Magical","Physical"))))</f>
        <v/>
      </c>
      <c r="O135">
        <f>IF(F135&lt;&gt;"armor","","TBD")</f>
        <v/>
      </c>
      <c r="P135">
        <f>IF(O135="","",IF(OR(G135="channeling",G135="infusing"),"Magical",IF(G135="blocking","Anti-Physical",IF(G135="warding","Anti-Magical","Physical"))))</f>
        <v/>
      </c>
    </row>
    <row r="136">
      <c r="J136">
        <f>IF(G136="","",IFERROR(IF(G136="infusing",IFERROR(LOOKUP(2,1/ISNUMBER(SEARCH(_lookup!$D$3:$D$4,H136)),_lookup!$E$3:$E$4),"INT"),VLOOKUP(G136,_lookup!$A$3:$B$14,2,FALSE)),""))</f>
        <v/>
      </c>
      <c r="K136">
        <f>IF(F136&lt;&gt;"weapon","",IF(G136="miscellaneous","1-4",IF(I136="","",IFERROR(VLOOKUP(I136&amp;"|"&amp;IF(LEFT(H136,2)="2H",2,1)&amp;"|"&amp;IF(G136="slashing",1,0),_lookup!$G$3:$H$18,2,FALSE),""))))</f>
        <v/>
      </c>
      <c r="L136">
        <f>IF(K136="","",IF(OR(G136="channeling",G136="infusing"),"Magical",IF(G136="blocking","Anti-Physical",IF(G136="warding","Anti-Magical","Physical"))))</f>
        <v/>
      </c>
      <c r="O136">
        <f>IF(F136&lt;&gt;"armor","","TBD")</f>
        <v/>
      </c>
      <c r="P136">
        <f>IF(O136="","",IF(OR(G136="channeling",G136="infusing"),"Magical",IF(G136="blocking","Anti-Physical",IF(G136="warding","Anti-Magical","Physical"))))</f>
        <v/>
      </c>
    </row>
    <row r="137">
      <c r="J137">
        <f>IF(G137="","",IFERROR(IF(G137="infusing",IFERROR(LOOKUP(2,1/ISNUMBER(SEARCH(_lookup!$D$3:$D$4,H137)),_lookup!$E$3:$E$4),"INT"),VLOOKUP(G137,_lookup!$A$3:$B$14,2,FALSE)),""))</f>
        <v/>
      </c>
      <c r="K137">
        <f>IF(F137&lt;&gt;"weapon","",IF(G137="miscellaneous","1-4",IF(I137="","",IFERROR(VLOOKUP(I137&amp;"|"&amp;IF(LEFT(H137,2)="2H",2,1)&amp;"|"&amp;IF(G137="slashing",1,0),_lookup!$G$3:$H$18,2,FALSE),""))))</f>
        <v/>
      </c>
      <c r="L137">
        <f>IF(K137="","",IF(OR(G137="channeling",G137="infusing"),"Magical",IF(G137="blocking","Anti-Physical",IF(G137="warding","Anti-Magical","Physical"))))</f>
        <v/>
      </c>
      <c r="O137">
        <f>IF(F137&lt;&gt;"armor","","TBD")</f>
        <v/>
      </c>
      <c r="P137">
        <f>IF(O137="","",IF(OR(G137="channeling",G137="infusing"),"Magical",IF(G137="blocking","Anti-Physical",IF(G137="warding","Anti-Magical","Physical"))))</f>
        <v/>
      </c>
    </row>
    <row r="138">
      <c r="J138">
        <f>IF(G138="","",IFERROR(IF(G138="infusing",IFERROR(LOOKUP(2,1/ISNUMBER(SEARCH(_lookup!$D$3:$D$4,H138)),_lookup!$E$3:$E$4),"INT"),VLOOKUP(G138,_lookup!$A$3:$B$14,2,FALSE)),""))</f>
        <v/>
      </c>
      <c r="K138">
        <f>IF(F138&lt;&gt;"weapon","",IF(G138="miscellaneous","1-4",IF(I138="","",IFERROR(VLOOKUP(I138&amp;"|"&amp;IF(LEFT(H138,2)="2H",2,1)&amp;"|"&amp;IF(G138="slashing",1,0),_lookup!$G$3:$H$18,2,FALSE),""))))</f>
        <v/>
      </c>
      <c r="L138">
        <f>IF(K138="","",IF(OR(G138="channeling",G138="infusing"),"Magical",IF(G138="blocking","Anti-Physical",IF(G138="warding","Anti-Magical","Physical"))))</f>
        <v/>
      </c>
      <c r="O138">
        <f>IF(F138&lt;&gt;"armor","","TBD")</f>
        <v/>
      </c>
      <c r="P138">
        <f>IF(O138="","",IF(OR(G138="channeling",G138="infusing"),"Magical",IF(G138="blocking","Anti-Physical",IF(G138="warding","Anti-Magical","Physical"))))</f>
        <v/>
      </c>
    </row>
    <row r="139">
      <c r="J139">
        <f>IF(G139="","",IFERROR(IF(G139="infusing",IFERROR(LOOKUP(2,1/ISNUMBER(SEARCH(_lookup!$D$3:$D$4,H139)),_lookup!$E$3:$E$4),"INT"),VLOOKUP(G139,_lookup!$A$3:$B$14,2,FALSE)),""))</f>
        <v/>
      </c>
      <c r="K139">
        <f>IF(F139&lt;&gt;"weapon","",IF(G139="miscellaneous","1-4",IF(I139="","",IFERROR(VLOOKUP(I139&amp;"|"&amp;IF(LEFT(H139,2)="2H",2,1)&amp;"|"&amp;IF(G139="slashing",1,0),_lookup!$G$3:$H$18,2,FALSE),""))))</f>
        <v/>
      </c>
      <c r="L139">
        <f>IF(K139="","",IF(OR(G139="channeling",G139="infusing"),"Magical",IF(G139="blocking","Anti-Physical",IF(G139="warding","Anti-Magical","Physical"))))</f>
        <v/>
      </c>
      <c r="O139">
        <f>IF(F139&lt;&gt;"armor","","TBD")</f>
        <v/>
      </c>
      <c r="P139">
        <f>IF(O139="","",IF(OR(G139="channeling",G139="infusing"),"Magical",IF(G139="blocking","Anti-Physical",IF(G139="warding","Anti-Magical","Physical"))))</f>
        <v/>
      </c>
    </row>
    <row r="140">
      <c r="J140">
        <f>IF(G140="","",IFERROR(IF(G140="infusing",IFERROR(LOOKUP(2,1/ISNUMBER(SEARCH(_lookup!$D$3:$D$4,H140)),_lookup!$E$3:$E$4),"INT"),VLOOKUP(G140,_lookup!$A$3:$B$14,2,FALSE)),""))</f>
        <v/>
      </c>
      <c r="K140">
        <f>IF(F140&lt;&gt;"weapon","",IF(G140="miscellaneous","1-4",IF(I140="","",IFERROR(VLOOKUP(I140&amp;"|"&amp;IF(LEFT(H140,2)="2H",2,1)&amp;"|"&amp;IF(G140="slashing",1,0),_lookup!$G$3:$H$18,2,FALSE),""))))</f>
        <v/>
      </c>
      <c r="L140">
        <f>IF(K140="","",IF(OR(G140="channeling",G140="infusing"),"Magical",IF(G140="blocking","Anti-Physical",IF(G140="warding","Anti-Magical","Physical"))))</f>
        <v/>
      </c>
      <c r="O140">
        <f>IF(F140&lt;&gt;"armor","","TBD")</f>
        <v/>
      </c>
      <c r="P140">
        <f>IF(O140="","",IF(OR(G140="channeling",G140="infusing"),"Magical",IF(G140="blocking","Anti-Physical",IF(G140="warding","Anti-Magical","Physical"))))</f>
        <v/>
      </c>
    </row>
    <row r="141">
      <c r="J141">
        <f>IF(G141="","",IFERROR(IF(G141="infusing",IFERROR(LOOKUP(2,1/ISNUMBER(SEARCH(_lookup!$D$3:$D$4,H141)),_lookup!$E$3:$E$4),"INT"),VLOOKUP(G141,_lookup!$A$3:$B$14,2,FALSE)),""))</f>
        <v/>
      </c>
      <c r="K141">
        <f>IF(F141&lt;&gt;"weapon","",IF(G141="miscellaneous","1-4",IF(I141="","",IFERROR(VLOOKUP(I141&amp;"|"&amp;IF(LEFT(H141,2)="2H",2,1)&amp;"|"&amp;IF(G141="slashing",1,0),_lookup!$G$3:$H$18,2,FALSE),""))))</f>
        <v/>
      </c>
      <c r="L141">
        <f>IF(K141="","",IF(OR(G141="channeling",G141="infusing"),"Magical",IF(G141="blocking","Anti-Physical",IF(G141="warding","Anti-Magical","Physical"))))</f>
        <v/>
      </c>
      <c r="O141">
        <f>IF(F141&lt;&gt;"armor","","TBD")</f>
        <v/>
      </c>
      <c r="P141">
        <f>IF(O141="","",IF(OR(G141="channeling",G141="infusing"),"Magical",IF(G141="blocking","Anti-Physical",IF(G141="warding","Anti-Magical","Physical"))))</f>
        <v/>
      </c>
    </row>
    <row r="142">
      <c r="J142">
        <f>IF(G142="","",IFERROR(IF(G142="infusing",IFERROR(LOOKUP(2,1/ISNUMBER(SEARCH(_lookup!$D$3:$D$4,H142)),_lookup!$E$3:$E$4),"INT"),VLOOKUP(G142,_lookup!$A$3:$B$14,2,FALSE)),""))</f>
        <v/>
      </c>
      <c r="K142">
        <f>IF(F142&lt;&gt;"weapon","",IF(G142="miscellaneous","1-4",IF(I142="","",IFERROR(VLOOKUP(I142&amp;"|"&amp;IF(LEFT(H142,2)="2H",2,1)&amp;"|"&amp;IF(G142="slashing",1,0),_lookup!$G$3:$H$18,2,FALSE),""))))</f>
        <v/>
      </c>
      <c r="L142">
        <f>IF(K142="","",IF(OR(G142="channeling",G142="infusing"),"Magical",IF(G142="blocking","Anti-Physical",IF(G142="warding","Anti-Magical","Physical"))))</f>
        <v/>
      </c>
      <c r="O142">
        <f>IF(F142&lt;&gt;"armor","","TBD")</f>
        <v/>
      </c>
      <c r="P142">
        <f>IF(O142="","",IF(OR(G142="channeling",G142="infusing"),"Magical",IF(G142="blocking","Anti-Physical",IF(G142="warding","Anti-Magical","Physical"))))</f>
        <v/>
      </c>
    </row>
    <row r="143">
      <c r="J143">
        <f>IF(G143="","",IFERROR(IF(G143="infusing",IFERROR(LOOKUP(2,1/ISNUMBER(SEARCH(_lookup!$D$3:$D$4,H143)),_lookup!$E$3:$E$4),"INT"),VLOOKUP(G143,_lookup!$A$3:$B$14,2,FALSE)),""))</f>
        <v/>
      </c>
      <c r="K143">
        <f>IF(F143&lt;&gt;"weapon","",IF(G143="miscellaneous","1-4",IF(I143="","",IFERROR(VLOOKUP(I143&amp;"|"&amp;IF(LEFT(H143,2)="2H",2,1)&amp;"|"&amp;IF(G143="slashing",1,0),_lookup!$G$3:$H$18,2,FALSE),""))))</f>
        <v/>
      </c>
      <c r="L143">
        <f>IF(K143="","",IF(OR(G143="channeling",G143="infusing"),"Magical",IF(G143="blocking","Anti-Physical",IF(G143="warding","Anti-Magical","Physical"))))</f>
        <v/>
      </c>
      <c r="O143">
        <f>IF(F143&lt;&gt;"armor","","TBD")</f>
        <v/>
      </c>
      <c r="P143">
        <f>IF(O143="","",IF(OR(G143="channeling",G143="infusing"),"Magical",IF(G143="blocking","Anti-Physical",IF(G143="warding","Anti-Magical","Physical"))))</f>
        <v/>
      </c>
    </row>
    <row r="144">
      <c r="J144">
        <f>IF(G144="","",IFERROR(IF(G144="infusing",IFERROR(LOOKUP(2,1/ISNUMBER(SEARCH(_lookup!$D$3:$D$4,H144)),_lookup!$E$3:$E$4),"INT"),VLOOKUP(G144,_lookup!$A$3:$B$14,2,FALSE)),""))</f>
        <v/>
      </c>
      <c r="K144">
        <f>IF(F144&lt;&gt;"weapon","",IF(G144="miscellaneous","1-4",IF(I144="","",IFERROR(VLOOKUP(I144&amp;"|"&amp;IF(LEFT(H144,2)="2H",2,1)&amp;"|"&amp;IF(G144="slashing",1,0),_lookup!$G$3:$H$18,2,FALSE),""))))</f>
        <v/>
      </c>
      <c r="L144">
        <f>IF(K144="","",IF(OR(G144="channeling",G144="infusing"),"Magical",IF(G144="blocking","Anti-Physical",IF(G144="warding","Anti-Magical","Physical"))))</f>
        <v/>
      </c>
      <c r="O144">
        <f>IF(F144&lt;&gt;"armor","","TBD")</f>
        <v/>
      </c>
      <c r="P144">
        <f>IF(O144="","",IF(OR(G144="channeling",G144="infusing"),"Magical",IF(G144="blocking","Anti-Physical",IF(G144="warding","Anti-Magical","Physical"))))</f>
        <v/>
      </c>
    </row>
    <row r="145">
      <c r="J145">
        <f>IF(G145="","",IFERROR(IF(G145="infusing",IFERROR(LOOKUP(2,1/ISNUMBER(SEARCH(_lookup!$D$3:$D$4,H145)),_lookup!$E$3:$E$4),"INT"),VLOOKUP(G145,_lookup!$A$3:$B$14,2,FALSE)),""))</f>
        <v/>
      </c>
      <c r="K145">
        <f>IF(F145&lt;&gt;"weapon","",IF(G145="miscellaneous","1-4",IF(I145="","",IFERROR(VLOOKUP(I145&amp;"|"&amp;IF(LEFT(H145,2)="2H",2,1)&amp;"|"&amp;IF(G145="slashing",1,0),_lookup!$G$3:$H$18,2,FALSE),""))))</f>
        <v/>
      </c>
      <c r="L145">
        <f>IF(K145="","",IF(OR(G145="channeling",G145="infusing"),"Magical",IF(G145="blocking","Anti-Physical",IF(G145="warding","Anti-Magical","Physical"))))</f>
        <v/>
      </c>
      <c r="O145">
        <f>IF(F145&lt;&gt;"armor","","TBD")</f>
        <v/>
      </c>
      <c r="P145">
        <f>IF(O145="","",IF(OR(G145="channeling",G145="infusing"),"Magical",IF(G145="blocking","Anti-Physical",IF(G145="warding","Anti-Magical","Physical"))))</f>
        <v/>
      </c>
    </row>
    <row r="146">
      <c r="J146">
        <f>IF(G146="","",IFERROR(IF(G146="infusing",IFERROR(LOOKUP(2,1/ISNUMBER(SEARCH(_lookup!$D$3:$D$4,H146)),_lookup!$E$3:$E$4),"INT"),VLOOKUP(G146,_lookup!$A$3:$B$14,2,FALSE)),""))</f>
        <v/>
      </c>
      <c r="K146">
        <f>IF(F146&lt;&gt;"weapon","",IF(G146="miscellaneous","1-4",IF(I146="","",IFERROR(VLOOKUP(I146&amp;"|"&amp;IF(LEFT(H146,2)="2H",2,1)&amp;"|"&amp;IF(G146="slashing",1,0),_lookup!$G$3:$H$18,2,FALSE),""))))</f>
        <v/>
      </c>
      <c r="L146">
        <f>IF(K146="","",IF(OR(G146="channeling",G146="infusing"),"Magical",IF(G146="blocking","Anti-Physical",IF(G146="warding","Anti-Magical","Physical"))))</f>
        <v/>
      </c>
      <c r="O146">
        <f>IF(F146&lt;&gt;"armor","","TBD")</f>
        <v/>
      </c>
      <c r="P146">
        <f>IF(O146="","",IF(OR(G146="channeling",G146="infusing"),"Magical",IF(G146="blocking","Anti-Physical",IF(G146="warding","Anti-Magical","Physical"))))</f>
        <v/>
      </c>
    </row>
    <row r="147">
      <c r="J147">
        <f>IF(G147="","",IFERROR(IF(G147="infusing",IFERROR(LOOKUP(2,1/ISNUMBER(SEARCH(_lookup!$D$3:$D$4,H147)),_lookup!$E$3:$E$4),"INT"),VLOOKUP(G147,_lookup!$A$3:$B$14,2,FALSE)),""))</f>
        <v/>
      </c>
      <c r="K147">
        <f>IF(F147&lt;&gt;"weapon","",IF(G147="miscellaneous","1-4",IF(I147="","",IFERROR(VLOOKUP(I147&amp;"|"&amp;IF(LEFT(H147,2)="2H",2,1)&amp;"|"&amp;IF(G147="slashing",1,0),_lookup!$G$3:$H$18,2,FALSE),""))))</f>
        <v/>
      </c>
      <c r="L147">
        <f>IF(K147="","",IF(OR(G147="channeling",G147="infusing"),"Magical",IF(G147="blocking","Anti-Physical",IF(G147="warding","Anti-Magical","Physical"))))</f>
        <v/>
      </c>
      <c r="O147">
        <f>IF(F147&lt;&gt;"armor","","TBD")</f>
        <v/>
      </c>
      <c r="P147">
        <f>IF(O147="","",IF(OR(G147="channeling",G147="infusing"),"Magical",IF(G147="blocking","Anti-Physical",IF(G147="warding","Anti-Magical","Physical"))))</f>
        <v/>
      </c>
    </row>
    <row r="148">
      <c r="J148">
        <f>IF(G148="","",IFERROR(IF(G148="infusing",IFERROR(LOOKUP(2,1/ISNUMBER(SEARCH(_lookup!$D$3:$D$4,H148)),_lookup!$E$3:$E$4),"INT"),VLOOKUP(G148,_lookup!$A$3:$B$14,2,FALSE)),""))</f>
        <v/>
      </c>
      <c r="K148">
        <f>IF(F148&lt;&gt;"weapon","",IF(G148="miscellaneous","1-4",IF(I148="","",IFERROR(VLOOKUP(I148&amp;"|"&amp;IF(LEFT(H148,2)="2H",2,1)&amp;"|"&amp;IF(G148="slashing",1,0),_lookup!$G$3:$H$18,2,FALSE),""))))</f>
        <v/>
      </c>
      <c r="L148">
        <f>IF(K148="","",IF(OR(G148="channeling",G148="infusing"),"Magical",IF(G148="blocking","Anti-Physical",IF(G148="warding","Anti-Magical","Physical"))))</f>
        <v/>
      </c>
      <c r="O148">
        <f>IF(F148&lt;&gt;"armor","","TBD")</f>
        <v/>
      </c>
      <c r="P148">
        <f>IF(O148="","",IF(OR(G148="channeling",G148="infusing"),"Magical",IF(G148="blocking","Anti-Physical",IF(G148="warding","Anti-Magical","Physical"))))</f>
        <v/>
      </c>
    </row>
    <row r="149">
      <c r="J149">
        <f>IF(G149="","",IFERROR(IF(G149="infusing",IFERROR(LOOKUP(2,1/ISNUMBER(SEARCH(_lookup!$D$3:$D$4,H149)),_lookup!$E$3:$E$4),"INT"),VLOOKUP(G149,_lookup!$A$3:$B$14,2,FALSE)),""))</f>
        <v/>
      </c>
      <c r="K149">
        <f>IF(F149&lt;&gt;"weapon","",IF(G149="miscellaneous","1-4",IF(I149="","",IFERROR(VLOOKUP(I149&amp;"|"&amp;IF(LEFT(H149,2)="2H",2,1)&amp;"|"&amp;IF(G149="slashing",1,0),_lookup!$G$3:$H$18,2,FALSE),""))))</f>
        <v/>
      </c>
      <c r="L149">
        <f>IF(K149="","",IF(OR(G149="channeling",G149="infusing"),"Magical",IF(G149="blocking","Anti-Physical",IF(G149="warding","Anti-Magical","Physical"))))</f>
        <v/>
      </c>
      <c r="O149">
        <f>IF(F149&lt;&gt;"armor","","TBD")</f>
        <v/>
      </c>
      <c r="P149">
        <f>IF(O149="","",IF(OR(G149="channeling",G149="infusing"),"Magical",IF(G149="blocking","Anti-Physical",IF(G149="warding","Anti-Magical","Physical"))))</f>
        <v/>
      </c>
    </row>
    <row r="150">
      <c r="J150">
        <f>IF(G150="","",IFERROR(IF(G150="infusing",IFERROR(LOOKUP(2,1/ISNUMBER(SEARCH(_lookup!$D$3:$D$4,H150)),_lookup!$E$3:$E$4),"INT"),VLOOKUP(G150,_lookup!$A$3:$B$14,2,FALSE)),""))</f>
        <v/>
      </c>
      <c r="K150">
        <f>IF(F150&lt;&gt;"weapon","",IF(G150="miscellaneous","1-4",IF(I150="","",IFERROR(VLOOKUP(I150&amp;"|"&amp;IF(LEFT(H150,2)="2H",2,1)&amp;"|"&amp;IF(G150="slashing",1,0),_lookup!$G$3:$H$18,2,FALSE),""))))</f>
        <v/>
      </c>
      <c r="L150">
        <f>IF(K150="","",IF(OR(G150="channeling",G150="infusing"),"Magical",IF(G150="blocking","Anti-Physical",IF(G150="warding","Anti-Magical","Physical"))))</f>
        <v/>
      </c>
      <c r="O150">
        <f>IF(F150&lt;&gt;"armor","","TBD")</f>
        <v/>
      </c>
      <c r="P150">
        <f>IF(O150="","",IF(OR(G150="channeling",G150="infusing"),"Magical",IF(G150="blocking","Anti-Physical",IF(G150="warding","Anti-Magical","Physical"))))</f>
        <v/>
      </c>
    </row>
    <row r="151">
      <c r="J151">
        <f>IF(G151="","",IFERROR(IF(G151="infusing",IFERROR(LOOKUP(2,1/ISNUMBER(SEARCH(_lookup!$D$3:$D$4,H151)),_lookup!$E$3:$E$4),"INT"),VLOOKUP(G151,_lookup!$A$3:$B$14,2,FALSE)),""))</f>
        <v/>
      </c>
      <c r="K151">
        <f>IF(F151&lt;&gt;"weapon","",IF(G151="miscellaneous","1-4",IF(I151="","",IFERROR(VLOOKUP(I151&amp;"|"&amp;IF(LEFT(H151,2)="2H",2,1)&amp;"|"&amp;IF(G151="slashing",1,0),_lookup!$G$3:$H$18,2,FALSE),""))))</f>
        <v/>
      </c>
      <c r="L151">
        <f>IF(K151="","",IF(OR(G151="channeling",G151="infusing"),"Magical",IF(G151="blocking","Anti-Physical",IF(G151="warding","Anti-Magical","Physical"))))</f>
        <v/>
      </c>
      <c r="O151">
        <f>IF(F151&lt;&gt;"armor","","TBD")</f>
        <v/>
      </c>
      <c r="P151">
        <f>IF(O151="","",IF(OR(G151="channeling",G151="infusing"),"Magical",IF(G151="blocking","Anti-Physical",IF(G151="warding","Anti-Magical","Physical"))))</f>
        <v/>
      </c>
    </row>
    <row r="152">
      <c r="J152">
        <f>IF(G152="","",IFERROR(IF(G152="infusing",IFERROR(LOOKUP(2,1/ISNUMBER(SEARCH(_lookup!$D$3:$D$4,H152)),_lookup!$E$3:$E$4),"INT"),VLOOKUP(G152,_lookup!$A$3:$B$14,2,FALSE)),""))</f>
        <v/>
      </c>
      <c r="K152">
        <f>IF(F152&lt;&gt;"weapon","",IF(G152="miscellaneous","1-4",IF(I152="","",IFERROR(VLOOKUP(I152&amp;"|"&amp;IF(LEFT(H152,2)="2H",2,1)&amp;"|"&amp;IF(G152="slashing",1,0),_lookup!$G$3:$H$18,2,FALSE),""))))</f>
        <v/>
      </c>
      <c r="L152">
        <f>IF(K152="","",IF(OR(G152="channeling",G152="infusing"),"Magical",IF(G152="blocking","Anti-Physical",IF(G152="warding","Anti-Magical","Physical"))))</f>
        <v/>
      </c>
      <c r="O152">
        <f>IF(F152&lt;&gt;"armor","","TBD")</f>
        <v/>
      </c>
      <c r="P152">
        <f>IF(O152="","",IF(OR(G152="channeling",G152="infusing"),"Magical",IF(G152="blocking","Anti-Physical",IF(G152="warding","Anti-Magical","Physical"))))</f>
        <v/>
      </c>
    </row>
    <row r="153">
      <c r="J153">
        <f>IF(G153="","",IFERROR(IF(G153="infusing",IFERROR(LOOKUP(2,1/ISNUMBER(SEARCH(_lookup!$D$3:$D$4,H153)),_lookup!$E$3:$E$4),"INT"),VLOOKUP(G153,_lookup!$A$3:$B$14,2,FALSE)),""))</f>
        <v/>
      </c>
      <c r="K153">
        <f>IF(F153&lt;&gt;"weapon","",IF(G153="miscellaneous","1-4",IF(I153="","",IFERROR(VLOOKUP(I153&amp;"|"&amp;IF(LEFT(H153,2)="2H",2,1)&amp;"|"&amp;IF(G153="slashing",1,0),_lookup!$G$3:$H$18,2,FALSE),""))))</f>
        <v/>
      </c>
      <c r="L153">
        <f>IF(K153="","",IF(OR(G153="channeling",G153="infusing"),"Magical",IF(G153="blocking","Anti-Physical",IF(G153="warding","Anti-Magical","Physical"))))</f>
        <v/>
      </c>
      <c r="O153">
        <f>IF(F153&lt;&gt;"armor","","TBD")</f>
        <v/>
      </c>
      <c r="P153">
        <f>IF(O153="","",IF(OR(G153="channeling",G153="infusing"),"Magical",IF(G153="blocking","Anti-Physical",IF(G153="warding","Anti-Magical","Physical"))))</f>
        <v/>
      </c>
    </row>
    <row r="154">
      <c r="J154">
        <f>IF(G154="","",IFERROR(IF(G154="infusing",IFERROR(LOOKUP(2,1/ISNUMBER(SEARCH(_lookup!$D$3:$D$4,H154)),_lookup!$E$3:$E$4),"INT"),VLOOKUP(G154,_lookup!$A$3:$B$14,2,FALSE)),""))</f>
        <v/>
      </c>
      <c r="K154">
        <f>IF(F154&lt;&gt;"weapon","",IF(G154="miscellaneous","1-4",IF(I154="","",IFERROR(VLOOKUP(I154&amp;"|"&amp;IF(LEFT(H154,2)="2H",2,1)&amp;"|"&amp;IF(G154="slashing",1,0),_lookup!$G$3:$H$18,2,FALSE),""))))</f>
        <v/>
      </c>
      <c r="L154">
        <f>IF(K154="","",IF(OR(G154="channeling",G154="infusing"),"Magical",IF(G154="blocking","Anti-Physical",IF(G154="warding","Anti-Magical","Physical"))))</f>
        <v/>
      </c>
      <c r="O154">
        <f>IF(F154&lt;&gt;"armor","","TBD")</f>
        <v/>
      </c>
      <c r="P154">
        <f>IF(O154="","",IF(OR(G154="channeling",G154="infusing"),"Magical",IF(G154="blocking","Anti-Physical",IF(G154="warding","Anti-Magical","Physical"))))</f>
        <v/>
      </c>
    </row>
    <row r="155">
      <c r="J155">
        <f>IF(G155="","",IFERROR(IF(G155="infusing",IFERROR(LOOKUP(2,1/ISNUMBER(SEARCH(_lookup!$D$3:$D$4,H155)),_lookup!$E$3:$E$4),"INT"),VLOOKUP(G155,_lookup!$A$3:$B$14,2,FALSE)),""))</f>
        <v/>
      </c>
      <c r="K155">
        <f>IF(F155&lt;&gt;"weapon","",IF(G155="miscellaneous","1-4",IF(I155="","",IFERROR(VLOOKUP(I155&amp;"|"&amp;IF(LEFT(H155,2)="2H",2,1)&amp;"|"&amp;IF(G155="slashing",1,0),_lookup!$G$3:$H$18,2,FALSE),""))))</f>
        <v/>
      </c>
      <c r="L155">
        <f>IF(K155="","",IF(OR(G155="channeling",G155="infusing"),"Magical",IF(G155="blocking","Anti-Physical",IF(G155="warding","Anti-Magical","Physical"))))</f>
        <v/>
      </c>
      <c r="O155">
        <f>IF(F155&lt;&gt;"armor","","TBD")</f>
        <v/>
      </c>
      <c r="P155">
        <f>IF(O155="","",IF(OR(G155="channeling",G155="infusing"),"Magical",IF(G155="blocking","Anti-Physical",IF(G155="warding","Anti-Magical","Physical"))))</f>
        <v/>
      </c>
    </row>
    <row r="156">
      <c r="J156">
        <f>IF(G156="","",IFERROR(IF(G156="infusing",IFERROR(LOOKUP(2,1/ISNUMBER(SEARCH(_lookup!$D$3:$D$4,H156)),_lookup!$E$3:$E$4),"INT"),VLOOKUP(G156,_lookup!$A$3:$B$14,2,FALSE)),""))</f>
        <v/>
      </c>
      <c r="K156">
        <f>IF(F156&lt;&gt;"weapon","",IF(G156="miscellaneous","1-4",IF(I156="","",IFERROR(VLOOKUP(I156&amp;"|"&amp;IF(LEFT(H156,2)="2H",2,1)&amp;"|"&amp;IF(G156="slashing",1,0),_lookup!$G$3:$H$18,2,FALSE),""))))</f>
        <v/>
      </c>
      <c r="L156">
        <f>IF(K156="","",IF(OR(G156="channeling",G156="infusing"),"Magical",IF(G156="blocking","Anti-Physical",IF(G156="warding","Anti-Magical","Physical"))))</f>
        <v/>
      </c>
      <c r="O156">
        <f>IF(F156&lt;&gt;"armor","","TBD")</f>
        <v/>
      </c>
      <c r="P156">
        <f>IF(O156="","",IF(OR(G156="channeling",G156="infusing"),"Magical",IF(G156="blocking","Anti-Physical",IF(G156="warding","Anti-Magical","Physical"))))</f>
        <v/>
      </c>
    </row>
    <row r="157">
      <c r="J157">
        <f>IF(G157="","",IFERROR(IF(G157="infusing",IFERROR(LOOKUP(2,1/ISNUMBER(SEARCH(_lookup!$D$3:$D$4,H157)),_lookup!$E$3:$E$4),"INT"),VLOOKUP(G157,_lookup!$A$3:$B$14,2,FALSE)),""))</f>
        <v/>
      </c>
      <c r="K157">
        <f>IF(F157&lt;&gt;"weapon","",IF(G157="miscellaneous","1-4",IF(I157="","",IFERROR(VLOOKUP(I157&amp;"|"&amp;IF(LEFT(H157,2)="2H",2,1)&amp;"|"&amp;IF(G157="slashing",1,0),_lookup!$G$3:$H$18,2,FALSE),""))))</f>
        <v/>
      </c>
      <c r="L157">
        <f>IF(K157="","",IF(OR(G157="channeling",G157="infusing"),"Magical",IF(G157="blocking","Anti-Physical",IF(G157="warding","Anti-Magical","Physical"))))</f>
        <v/>
      </c>
      <c r="O157">
        <f>IF(F157&lt;&gt;"armor","","TBD")</f>
        <v/>
      </c>
      <c r="P157">
        <f>IF(O157="","",IF(OR(G157="channeling",G157="infusing"),"Magical",IF(G157="blocking","Anti-Physical",IF(G157="warding","Anti-Magical","Physical"))))</f>
        <v/>
      </c>
    </row>
    <row r="158">
      <c r="J158">
        <f>IF(G158="","",IFERROR(IF(G158="infusing",IFERROR(LOOKUP(2,1/ISNUMBER(SEARCH(_lookup!$D$3:$D$4,H158)),_lookup!$E$3:$E$4),"INT"),VLOOKUP(G158,_lookup!$A$3:$B$14,2,FALSE)),""))</f>
        <v/>
      </c>
      <c r="K158">
        <f>IF(F158&lt;&gt;"weapon","",IF(G158="miscellaneous","1-4",IF(I158="","",IFERROR(VLOOKUP(I158&amp;"|"&amp;IF(LEFT(H158,2)="2H",2,1)&amp;"|"&amp;IF(G158="slashing",1,0),_lookup!$G$3:$H$18,2,FALSE),""))))</f>
        <v/>
      </c>
      <c r="L158">
        <f>IF(K158="","",IF(OR(G158="channeling",G158="infusing"),"Magical",IF(G158="blocking","Anti-Physical",IF(G158="warding","Anti-Magical","Physical"))))</f>
        <v/>
      </c>
      <c r="O158">
        <f>IF(F158&lt;&gt;"armor","","TBD")</f>
        <v/>
      </c>
      <c r="P158">
        <f>IF(O158="","",IF(OR(G158="channeling",G158="infusing"),"Magical",IF(G158="blocking","Anti-Physical",IF(G158="warding","Anti-Magical","Physical"))))</f>
        <v/>
      </c>
    </row>
    <row r="159">
      <c r="J159">
        <f>IF(G159="","",IFERROR(IF(G159="infusing",IFERROR(LOOKUP(2,1/ISNUMBER(SEARCH(_lookup!$D$3:$D$4,H159)),_lookup!$E$3:$E$4),"INT"),VLOOKUP(G159,_lookup!$A$3:$B$14,2,FALSE)),""))</f>
        <v/>
      </c>
      <c r="K159">
        <f>IF(F159&lt;&gt;"weapon","",IF(G159="miscellaneous","1-4",IF(I159="","",IFERROR(VLOOKUP(I159&amp;"|"&amp;IF(LEFT(H159,2)="2H",2,1)&amp;"|"&amp;IF(G159="slashing",1,0),_lookup!$G$3:$H$18,2,FALSE),""))))</f>
        <v/>
      </c>
      <c r="L159">
        <f>IF(K159="","",IF(OR(G159="channeling",G159="infusing"),"Magical",IF(G159="blocking","Anti-Physical",IF(G159="warding","Anti-Magical","Physical"))))</f>
        <v/>
      </c>
      <c r="O159">
        <f>IF(F159&lt;&gt;"armor","","TBD")</f>
        <v/>
      </c>
      <c r="P159">
        <f>IF(O159="","",IF(OR(G159="channeling",G159="infusing"),"Magical",IF(G159="blocking","Anti-Physical",IF(G159="warding","Anti-Magical","Physical"))))</f>
        <v/>
      </c>
    </row>
    <row r="160">
      <c r="J160">
        <f>IF(G160="","",IFERROR(IF(G160="infusing",IFERROR(LOOKUP(2,1/ISNUMBER(SEARCH(_lookup!$D$3:$D$4,H160)),_lookup!$E$3:$E$4),"INT"),VLOOKUP(G160,_lookup!$A$3:$B$14,2,FALSE)),""))</f>
        <v/>
      </c>
      <c r="K160">
        <f>IF(F160&lt;&gt;"weapon","",IF(G160="miscellaneous","1-4",IF(I160="","",IFERROR(VLOOKUP(I160&amp;"|"&amp;IF(LEFT(H160,2)="2H",2,1)&amp;"|"&amp;IF(G160="slashing",1,0),_lookup!$G$3:$H$18,2,FALSE),""))))</f>
        <v/>
      </c>
      <c r="L160">
        <f>IF(K160="","",IF(OR(G160="channeling",G160="infusing"),"Magical",IF(G160="blocking","Anti-Physical",IF(G160="warding","Anti-Magical","Physical"))))</f>
        <v/>
      </c>
      <c r="O160">
        <f>IF(F160&lt;&gt;"armor","","TBD")</f>
        <v/>
      </c>
      <c r="P160">
        <f>IF(O160="","",IF(OR(G160="channeling",G160="infusing"),"Magical",IF(G160="blocking","Anti-Physical",IF(G160="warding","Anti-Magical","Physical"))))</f>
        <v/>
      </c>
    </row>
    <row r="161">
      <c r="J161">
        <f>IF(G161="","",IFERROR(IF(G161="infusing",IFERROR(LOOKUP(2,1/ISNUMBER(SEARCH(_lookup!$D$3:$D$4,H161)),_lookup!$E$3:$E$4),"INT"),VLOOKUP(G161,_lookup!$A$3:$B$14,2,FALSE)),""))</f>
        <v/>
      </c>
      <c r="K161">
        <f>IF(F161&lt;&gt;"weapon","",IF(G161="miscellaneous","1-4",IF(I161="","",IFERROR(VLOOKUP(I161&amp;"|"&amp;IF(LEFT(H161,2)="2H",2,1)&amp;"|"&amp;IF(G161="slashing",1,0),_lookup!$G$3:$H$18,2,FALSE),""))))</f>
        <v/>
      </c>
      <c r="L161">
        <f>IF(K161="","",IF(OR(G161="channeling",G161="infusing"),"Magical",IF(G161="blocking","Anti-Physical",IF(G161="warding","Anti-Magical","Physical"))))</f>
        <v/>
      </c>
      <c r="O161">
        <f>IF(F161&lt;&gt;"armor","","TBD")</f>
        <v/>
      </c>
      <c r="P161">
        <f>IF(O161="","",IF(OR(G161="channeling",G161="infusing"),"Magical",IF(G161="blocking","Anti-Physical",IF(G161="warding","Anti-Magical","Physical"))))</f>
        <v/>
      </c>
    </row>
    <row r="162">
      <c r="J162">
        <f>IF(G162="","",IFERROR(IF(G162="infusing",IFERROR(LOOKUP(2,1/ISNUMBER(SEARCH(_lookup!$D$3:$D$4,H162)),_lookup!$E$3:$E$4),"INT"),VLOOKUP(G162,_lookup!$A$3:$B$14,2,FALSE)),""))</f>
        <v/>
      </c>
      <c r="K162">
        <f>IF(F162&lt;&gt;"weapon","",IF(G162="miscellaneous","1-4",IF(I162="","",IFERROR(VLOOKUP(I162&amp;"|"&amp;IF(LEFT(H162,2)="2H",2,1)&amp;"|"&amp;IF(G162="slashing",1,0),_lookup!$G$3:$H$18,2,FALSE),""))))</f>
        <v/>
      </c>
      <c r="L162">
        <f>IF(K162="","",IF(OR(G162="channeling",G162="infusing"),"Magical",IF(G162="blocking","Anti-Physical",IF(G162="warding","Anti-Magical","Physical"))))</f>
        <v/>
      </c>
      <c r="O162">
        <f>IF(F162&lt;&gt;"armor","","TBD")</f>
        <v/>
      </c>
      <c r="P162">
        <f>IF(O162="","",IF(OR(G162="channeling",G162="infusing"),"Magical",IF(G162="blocking","Anti-Physical",IF(G162="warding","Anti-Magical","Physical"))))</f>
        <v/>
      </c>
    </row>
    <row r="163">
      <c r="J163">
        <f>IF(G163="","",IFERROR(IF(G163="infusing",IFERROR(LOOKUP(2,1/ISNUMBER(SEARCH(_lookup!$D$3:$D$4,H163)),_lookup!$E$3:$E$4),"INT"),VLOOKUP(G163,_lookup!$A$3:$B$14,2,FALSE)),""))</f>
        <v/>
      </c>
      <c r="K163">
        <f>IF(F163&lt;&gt;"weapon","",IF(G163="miscellaneous","1-4",IF(I163="","",IFERROR(VLOOKUP(I163&amp;"|"&amp;IF(LEFT(H163,2)="2H",2,1)&amp;"|"&amp;IF(G163="slashing",1,0),_lookup!$G$3:$H$18,2,FALSE),""))))</f>
        <v/>
      </c>
      <c r="L163">
        <f>IF(K163="","",IF(OR(G163="channeling",G163="infusing"),"Magical",IF(G163="blocking","Anti-Physical",IF(G163="warding","Anti-Magical","Physical"))))</f>
        <v/>
      </c>
      <c r="O163">
        <f>IF(F163&lt;&gt;"armor","","TBD")</f>
        <v/>
      </c>
      <c r="P163">
        <f>IF(O163="","",IF(OR(G163="channeling",G163="infusing"),"Magical",IF(G163="blocking","Anti-Physical",IF(G163="warding","Anti-Magical","Physical"))))</f>
        <v/>
      </c>
    </row>
    <row r="164">
      <c r="J164">
        <f>IF(G164="","",IFERROR(IF(G164="infusing",IFERROR(LOOKUP(2,1/ISNUMBER(SEARCH(_lookup!$D$3:$D$4,H164)),_lookup!$E$3:$E$4),"INT"),VLOOKUP(G164,_lookup!$A$3:$B$14,2,FALSE)),""))</f>
        <v/>
      </c>
      <c r="K164">
        <f>IF(F164&lt;&gt;"weapon","",IF(G164="miscellaneous","1-4",IF(I164="","",IFERROR(VLOOKUP(I164&amp;"|"&amp;IF(LEFT(H164,2)="2H",2,1)&amp;"|"&amp;IF(G164="slashing",1,0),_lookup!$G$3:$H$18,2,FALSE),""))))</f>
        <v/>
      </c>
      <c r="L164">
        <f>IF(K164="","",IF(OR(G164="channeling",G164="infusing"),"Magical",IF(G164="blocking","Anti-Physical",IF(G164="warding","Anti-Magical","Physical"))))</f>
        <v/>
      </c>
      <c r="O164">
        <f>IF(F164&lt;&gt;"armor","","TBD")</f>
        <v/>
      </c>
      <c r="P164">
        <f>IF(O164="","",IF(OR(G164="channeling",G164="infusing"),"Magical",IF(G164="blocking","Anti-Physical",IF(G164="warding","Anti-Magical","Physical"))))</f>
        <v/>
      </c>
    </row>
    <row r="165">
      <c r="J165">
        <f>IF(G165="","",IFERROR(IF(G165="infusing",IFERROR(LOOKUP(2,1/ISNUMBER(SEARCH(_lookup!$D$3:$D$4,H165)),_lookup!$E$3:$E$4),"INT"),VLOOKUP(G165,_lookup!$A$3:$B$14,2,FALSE)),""))</f>
        <v/>
      </c>
      <c r="K165">
        <f>IF(F165&lt;&gt;"weapon","",IF(G165="miscellaneous","1-4",IF(I165="","",IFERROR(VLOOKUP(I165&amp;"|"&amp;IF(LEFT(H165,2)="2H",2,1)&amp;"|"&amp;IF(G165="slashing",1,0),_lookup!$G$3:$H$18,2,FALSE),""))))</f>
        <v/>
      </c>
      <c r="L165">
        <f>IF(K165="","",IF(OR(G165="channeling",G165="infusing"),"Magical",IF(G165="blocking","Anti-Physical",IF(G165="warding","Anti-Magical","Physical"))))</f>
        <v/>
      </c>
      <c r="O165">
        <f>IF(F165&lt;&gt;"armor","","TBD")</f>
        <v/>
      </c>
      <c r="P165">
        <f>IF(O165="","",IF(OR(G165="channeling",G165="infusing"),"Magical",IF(G165="blocking","Anti-Physical",IF(G165="warding","Anti-Magical","Physical"))))</f>
        <v/>
      </c>
    </row>
    <row r="166">
      <c r="J166">
        <f>IF(G166="","",IFERROR(IF(G166="infusing",IFERROR(LOOKUP(2,1/ISNUMBER(SEARCH(_lookup!$D$3:$D$4,H166)),_lookup!$E$3:$E$4),"INT"),VLOOKUP(G166,_lookup!$A$3:$B$14,2,FALSE)),""))</f>
        <v/>
      </c>
      <c r="K166">
        <f>IF(F166&lt;&gt;"weapon","",IF(G166="miscellaneous","1-4",IF(I166="","",IFERROR(VLOOKUP(I166&amp;"|"&amp;IF(LEFT(H166,2)="2H",2,1)&amp;"|"&amp;IF(G166="slashing",1,0),_lookup!$G$3:$H$18,2,FALSE),""))))</f>
        <v/>
      </c>
      <c r="L166">
        <f>IF(K166="","",IF(OR(G166="channeling",G166="infusing"),"Magical",IF(G166="blocking","Anti-Physical",IF(G166="warding","Anti-Magical","Physical"))))</f>
        <v/>
      </c>
      <c r="O166">
        <f>IF(F166&lt;&gt;"armor","","TBD")</f>
        <v/>
      </c>
      <c r="P166">
        <f>IF(O166="","",IF(OR(G166="channeling",G166="infusing"),"Magical",IF(G166="blocking","Anti-Physical",IF(G166="warding","Anti-Magical","Physical"))))</f>
        <v/>
      </c>
    </row>
    <row r="167">
      <c r="J167">
        <f>IF(G167="","",IFERROR(IF(G167="infusing",IFERROR(LOOKUP(2,1/ISNUMBER(SEARCH(_lookup!$D$3:$D$4,H167)),_lookup!$E$3:$E$4),"INT"),VLOOKUP(G167,_lookup!$A$3:$B$14,2,FALSE)),""))</f>
        <v/>
      </c>
      <c r="K167">
        <f>IF(F167&lt;&gt;"weapon","",IF(G167="miscellaneous","1-4",IF(I167="","",IFERROR(VLOOKUP(I167&amp;"|"&amp;IF(LEFT(H167,2)="2H",2,1)&amp;"|"&amp;IF(G167="slashing",1,0),_lookup!$G$3:$H$18,2,FALSE),""))))</f>
        <v/>
      </c>
      <c r="L167">
        <f>IF(K167="","",IF(OR(G167="channeling",G167="infusing"),"Magical",IF(G167="blocking","Anti-Physical",IF(G167="warding","Anti-Magical","Physical"))))</f>
        <v/>
      </c>
      <c r="O167">
        <f>IF(F167&lt;&gt;"armor","","TBD")</f>
        <v/>
      </c>
      <c r="P167">
        <f>IF(O167="","",IF(OR(G167="channeling",G167="infusing"),"Magical",IF(G167="blocking","Anti-Physical",IF(G167="warding","Anti-Magical","Physical"))))</f>
        <v/>
      </c>
    </row>
    <row r="168">
      <c r="J168">
        <f>IF(G168="","",IFERROR(IF(G168="infusing",IFERROR(LOOKUP(2,1/ISNUMBER(SEARCH(_lookup!$D$3:$D$4,H168)),_lookup!$E$3:$E$4),"INT"),VLOOKUP(G168,_lookup!$A$3:$B$14,2,FALSE)),""))</f>
        <v/>
      </c>
      <c r="K168">
        <f>IF(F168&lt;&gt;"weapon","",IF(G168="miscellaneous","1-4",IF(I168="","",IFERROR(VLOOKUP(I168&amp;"|"&amp;IF(LEFT(H168,2)="2H",2,1)&amp;"|"&amp;IF(G168="slashing",1,0),_lookup!$G$3:$H$18,2,FALSE),""))))</f>
        <v/>
      </c>
      <c r="L168">
        <f>IF(K168="","",IF(OR(G168="channeling",G168="infusing"),"Magical",IF(G168="blocking","Anti-Physical",IF(G168="warding","Anti-Magical","Physical"))))</f>
        <v/>
      </c>
      <c r="O168">
        <f>IF(F168&lt;&gt;"armor","","TBD")</f>
        <v/>
      </c>
      <c r="P168">
        <f>IF(O168="","",IF(OR(G168="channeling",G168="infusing"),"Magical",IF(G168="blocking","Anti-Physical",IF(G168="warding","Anti-Magical","Physical"))))</f>
        <v/>
      </c>
    </row>
    <row r="169">
      <c r="J169">
        <f>IF(G169="","",IFERROR(IF(G169="infusing",IFERROR(LOOKUP(2,1/ISNUMBER(SEARCH(_lookup!$D$3:$D$4,H169)),_lookup!$E$3:$E$4),"INT"),VLOOKUP(G169,_lookup!$A$3:$B$14,2,FALSE)),""))</f>
        <v/>
      </c>
      <c r="K169">
        <f>IF(F169&lt;&gt;"weapon","",IF(G169="miscellaneous","1-4",IF(I169="","",IFERROR(VLOOKUP(I169&amp;"|"&amp;IF(LEFT(H169,2)="2H",2,1)&amp;"|"&amp;IF(G169="slashing",1,0),_lookup!$G$3:$H$18,2,FALSE),""))))</f>
        <v/>
      </c>
      <c r="L169">
        <f>IF(K169="","",IF(OR(G169="channeling",G169="infusing"),"Magical",IF(G169="blocking","Anti-Physical",IF(G169="warding","Anti-Magical","Physical"))))</f>
        <v/>
      </c>
      <c r="O169">
        <f>IF(F169&lt;&gt;"armor","","TBD")</f>
        <v/>
      </c>
      <c r="P169">
        <f>IF(O169="","",IF(OR(G169="channeling",G169="infusing"),"Magical",IF(G169="blocking","Anti-Physical",IF(G169="warding","Anti-Magical","Physical"))))</f>
        <v/>
      </c>
    </row>
    <row r="170">
      <c r="J170">
        <f>IF(G170="","",IFERROR(IF(G170="infusing",IFERROR(LOOKUP(2,1/ISNUMBER(SEARCH(_lookup!$D$3:$D$4,H170)),_lookup!$E$3:$E$4),"INT"),VLOOKUP(G170,_lookup!$A$3:$B$14,2,FALSE)),""))</f>
        <v/>
      </c>
      <c r="K170">
        <f>IF(F170&lt;&gt;"weapon","",IF(G170="miscellaneous","1-4",IF(I170="","",IFERROR(VLOOKUP(I170&amp;"|"&amp;IF(LEFT(H170,2)="2H",2,1)&amp;"|"&amp;IF(G170="slashing",1,0),_lookup!$G$3:$H$18,2,FALSE),""))))</f>
        <v/>
      </c>
      <c r="L170">
        <f>IF(K170="","",IF(OR(G170="channeling",G170="infusing"),"Magical",IF(G170="blocking","Anti-Physical",IF(G170="warding","Anti-Magical","Physical"))))</f>
        <v/>
      </c>
      <c r="O170">
        <f>IF(F170&lt;&gt;"armor","","TBD")</f>
        <v/>
      </c>
      <c r="P170">
        <f>IF(O170="","",IF(OR(G170="channeling",G170="infusing"),"Magical",IF(G170="blocking","Anti-Physical",IF(G170="warding","Anti-Magical","Physical"))))</f>
        <v/>
      </c>
    </row>
    <row r="171">
      <c r="J171">
        <f>IF(G171="","",IFERROR(IF(G171="infusing",IFERROR(LOOKUP(2,1/ISNUMBER(SEARCH(_lookup!$D$3:$D$4,H171)),_lookup!$E$3:$E$4),"INT"),VLOOKUP(G171,_lookup!$A$3:$B$14,2,FALSE)),""))</f>
        <v/>
      </c>
      <c r="K171">
        <f>IF(F171&lt;&gt;"weapon","",IF(G171="miscellaneous","1-4",IF(I171="","",IFERROR(VLOOKUP(I171&amp;"|"&amp;IF(LEFT(H171,2)="2H",2,1)&amp;"|"&amp;IF(G171="slashing",1,0),_lookup!$G$3:$H$18,2,FALSE),""))))</f>
        <v/>
      </c>
      <c r="L171">
        <f>IF(K171="","",IF(OR(G171="channeling",G171="infusing"),"Magical",IF(G171="blocking","Anti-Physical",IF(G171="warding","Anti-Magical","Physical"))))</f>
        <v/>
      </c>
      <c r="O171">
        <f>IF(F171&lt;&gt;"armor","","TBD")</f>
        <v/>
      </c>
      <c r="P171">
        <f>IF(O171="","",IF(OR(G171="channeling",G171="infusing"),"Magical",IF(G171="blocking","Anti-Physical",IF(G171="warding","Anti-Magical","Physical"))))</f>
        <v/>
      </c>
    </row>
    <row r="172">
      <c r="J172">
        <f>IF(G172="","",IFERROR(IF(G172="infusing",IFERROR(LOOKUP(2,1/ISNUMBER(SEARCH(_lookup!$D$3:$D$4,H172)),_lookup!$E$3:$E$4),"INT"),VLOOKUP(G172,_lookup!$A$3:$B$14,2,FALSE)),""))</f>
        <v/>
      </c>
      <c r="K172">
        <f>IF(F172&lt;&gt;"weapon","",IF(G172="miscellaneous","1-4",IF(I172="","",IFERROR(VLOOKUP(I172&amp;"|"&amp;IF(LEFT(H172,2)="2H",2,1)&amp;"|"&amp;IF(G172="slashing",1,0),_lookup!$G$3:$H$18,2,FALSE),""))))</f>
        <v/>
      </c>
      <c r="L172">
        <f>IF(K172="","",IF(OR(G172="channeling",G172="infusing"),"Magical",IF(G172="blocking","Anti-Physical",IF(G172="warding","Anti-Magical","Physical"))))</f>
        <v/>
      </c>
      <c r="O172">
        <f>IF(F172&lt;&gt;"armor","","TBD")</f>
        <v/>
      </c>
      <c r="P172">
        <f>IF(O172="","",IF(OR(G172="channeling",G172="infusing"),"Magical",IF(G172="blocking","Anti-Physical",IF(G172="warding","Anti-Magical","Physical"))))</f>
        <v/>
      </c>
    </row>
    <row r="173">
      <c r="J173">
        <f>IF(G173="","",IFERROR(IF(G173="infusing",IFERROR(LOOKUP(2,1/ISNUMBER(SEARCH(_lookup!$D$3:$D$4,H173)),_lookup!$E$3:$E$4),"INT"),VLOOKUP(G173,_lookup!$A$3:$B$14,2,FALSE)),""))</f>
        <v/>
      </c>
      <c r="K173">
        <f>IF(F173&lt;&gt;"weapon","",IF(G173="miscellaneous","1-4",IF(I173="","",IFERROR(VLOOKUP(I173&amp;"|"&amp;IF(LEFT(H173,2)="2H",2,1)&amp;"|"&amp;IF(G173="slashing",1,0),_lookup!$G$3:$H$18,2,FALSE),""))))</f>
        <v/>
      </c>
      <c r="L173">
        <f>IF(K173="","",IF(OR(G173="channeling",G173="infusing"),"Magical",IF(G173="blocking","Anti-Physical",IF(G173="warding","Anti-Magical","Physical"))))</f>
        <v/>
      </c>
      <c r="O173">
        <f>IF(F173&lt;&gt;"armor","","TBD")</f>
        <v/>
      </c>
      <c r="P173">
        <f>IF(O173="","",IF(OR(G173="channeling",G173="infusing"),"Magical",IF(G173="blocking","Anti-Physical",IF(G173="warding","Anti-Magical","Physical"))))</f>
        <v/>
      </c>
    </row>
    <row r="174">
      <c r="J174">
        <f>IF(G174="","",IFERROR(IF(G174="infusing",IFERROR(LOOKUP(2,1/ISNUMBER(SEARCH(_lookup!$D$3:$D$4,H174)),_lookup!$E$3:$E$4),"INT"),VLOOKUP(G174,_lookup!$A$3:$B$14,2,FALSE)),""))</f>
        <v/>
      </c>
      <c r="K174">
        <f>IF(F174&lt;&gt;"weapon","",IF(G174="miscellaneous","1-4",IF(I174="","",IFERROR(VLOOKUP(I174&amp;"|"&amp;IF(LEFT(H174,2)="2H",2,1)&amp;"|"&amp;IF(G174="slashing",1,0),_lookup!$G$3:$H$18,2,FALSE),""))))</f>
        <v/>
      </c>
      <c r="L174">
        <f>IF(K174="","",IF(OR(G174="channeling",G174="infusing"),"Magical",IF(G174="blocking","Anti-Physical",IF(G174="warding","Anti-Magical","Physical"))))</f>
        <v/>
      </c>
      <c r="O174">
        <f>IF(F174&lt;&gt;"armor","","TBD")</f>
        <v/>
      </c>
      <c r="P174">
        <f>IF(O174="","",IF(OR(G174="channeling",G174="infusing"),"Magical",IF(G174="blocking","Anti-Physical",IF(G174="warding","Anti-Magical","Physical"))))</f>
        <v/>
      </c>
    </row>
    <row r="175">
      <c r="J175">
        <f>IF(G175="","",IFERROR(IF(G175="infusing",IFERROR(LOOKUP(2,1/ISNUMBER(SEARCH(_lookup!$D$3:$D$4,H175)),_lookup!$E$3:$E$4),"INT"),VLOOKUP(G175,_lookup!$A$3:$B$14,2,FALSE)),""))</f>
        <v/>
      </c>
      <c r="K175">
        <f>IF(F175&lt;&gt;"weapon","",IF(G175="miscellaneous","1-4",IF(I175="","",IFERROR(VLOOKUP(I175&amp;"|"&amp;IF(LEFT(H175,2)="2H",2,1)&amp;"|"&amp;IF(G175="slashing",1,0),_lookup!$G$3:$H$18,2,FALSE),""))))</f>
        <v/>
      </c>
      <c r="L175">
        <f>IF(K175="","",IF(OR(G175="channeling",G175="infusing"),"Magical",IF(G175="blocking","Anti-Physical",IF(G175="warding","Anti-Magical","Physical"))))</f>
        <v/>
      </c>
      <c r="O175">
        <f>IF(F175&lt;&gt;"armor","","TBD")</f>
        <v/>
      </c>
      <c r="P175">
        <f>IF(O175="","",IF(OR(G175="channeling",G175="infusing"),"Magical",IF(G175="blocking","Anti-Physical",IF(G175="warding","Anti-Magical","Physical"))))</f>
        <v/>
      </c>
    </row>
    <row r="176">
      <c r="J176">
        <f>IF(G176="","",IFERROR(IF(G176="infusing",IFERROR(LOOKUP(2,1/ISNUMBER(SEARCH(_lookup!$D$3:$D$4,H176)),_lookup!$E$3:$E$4),"INT"),VLOOKUP(G176,_lookup!$A$3:$B$14,2,FALSE)),""))</f>
        <v/>
      </c>
      <c r="K176">
        <f>IF(F176&lt;&gt;"weapon","",IF(G176="miscellaneous","1-4",IF(I176="","",IFERROR(VLOOKUP(I176&amp;"|"&amp;IF(LEFT(H176,2)="2H",2,1)&amp;"|"&amp;IF(G176="slashing",1,0),_lookup!$G$3:$H$18,2,FALSE),""))))</f>
        <v/>
      </c>
      <c r="L176">
        <f>IF(K176="","",IF(OR(G176="channeling",G176="infusing"),"Magical",IF(G176="blocking","Anti-Physical",IF(G176="warding","Anti-Magical","Physical"))))</f>
        <v/>
      </c>
      <c r="O176">
        <f>IF(F176&lt;&gt;"armor","","TBD")</f>
        <v/>
      </c>
      <c r="P176">
        <f>IF(O176="","",IF(OR(G176="channeling",G176="infusing"),"Magical",IF(G176="blocking","Anti-Physical",IF(G176="warding","Anti-Magical","Physical"))))</f>
        <v/>
      </c>
    </row>
    <row r="177">
      <c r="J177">
        <f>IF(G177="","",IFERROR(IF(G177="infusing",IFERROR(LOOKUP(2,1/ISNUMBER(SEARCH(_lookup!$D$3:$D$4,H177)),_lookup!$E$3:$E$4),"INT"),VLOOKUP(G177,_lookup!$A$3:$B$14,2,FALSE)),""))</f>
        <v/>
      </c>
      <c r="K177">
        <f>IF(F177&lt;&gt;"weapon","",IF(G177="miscellaneous","1-4",IF(I177="","",IFERROR(VLOOKUP(I177&amp;"|"&amp;IF(LEFT(H177,2)="2H",2,1)&amp;"|"&amp;IF(G177="slashing",1,0),_lookup!$G$3:$H$18,2,FALSE),""))))</f>
        <v/>
      </c>
      <c r="L177">
        <f>IF(K177="","",IF(OR(G177="channeling",G177="infusing"),"Magical",IF(G177="blocking","Anti-Physical",IF(G177="warding","Anti-Magical","Physical"))))</f>
        <v/>
      </c>
      <c r="O177">
        <f>IF(F177&lt;&gt;"armor","","TBD")</f>
        <v/>
      </c>
      <c r="P177">
        <f>IF(O177="","",IF(OR(G177="channeling",G177="infusing"),"Magical",IF(G177="blocking","Anti-Physical",IF(G177="warding","Anti-Magical","Physical"))))</f>
        <v/>
      </c>
    </row>
    <row r="178">
      <c r="J178">
        <f>IF(G178="","",IFERROR(IF(G178="infusing",IFERROR(LOOKUP(2,1/ISNUMBER(SEARCH(_lookup!$D$3:$D$4,H178)),_lookup!$E$3:$E$4),"INT"),VLOOKUP(G178,_lookup!$A$3:$B$14,2,FALSE)),""))</f>
        <v/>
      </c>
      <c r="K178">
        <f>IF(F178&lt;&gt;"weapon","",IF(G178="miscellaneous","1-4",IF(I178="","",IFERROR(VLOOKUP(I178&amp;"|"&amp;IF(LEFT(H178,2)="2H",2,1)&amp;"|"&amp;IF(G178="slashing",1,0),_lookup!$G$3:$H$18,2,FALSE),""))))</f>
        <v/>
      </c>
      <c r="L178">
        <f>IF(K178="","",IF(OR(G178="channeling",G178="infusing"),"Magical",IF(G178="blocking","Anti-Physical",IF(G178="warding","Anti-Magical","Physical"))))</f>
        <v/>
      </c>
      <c r="O178">
        <f>IF(F178&lt;&gt;"armor","","TBD")</f>
        <v/>
      </c>
      <c r="P178">
        <f>IF(O178="","",IF(OR(G178="channeling",G178="infusing"),"Magical",IF(G178="blocking","Anti-Physical",IF(G178="warding","Anti-Magical","Physical"))))</f>
        <v/>
      </c>
    </row>
    <row r="179">
      <c r="J179">
        <f>IF(G179="","",IFERROR(IF(G179="infusing",IFERROR(LOOKUP(2,1/ISNUMBER(SEARCH(_lookup!$D$3:$D$4,H179)),_lookup!$E$3:$E$4),"INT"),VLOOKUP(G179,_lookup!$A$3:$B$14,2,FALSE)),""))</f>
        <v/>
      </c>
      <c r="K179">
        <f>IF(F179&lt;&gt;"weapon","",IF(G179="miscellaneous","1-4",IF(I179="","",IFERROR(VLOOKUP(I179&amp;"|"&amp;IF(LEFT(H179,2)="2H",2,1)&amp;"|"&amp;IF(G179="slashing",1,0),_lookup!$G$3:$H$18,2,FALSE),""))))</f>
        <v/>
      </c>
      <c r="L179">
        <f>IF(K179="","",IF(OR(G179="channeling",G179="infusing"),"Magical",IF(G179="blocking","Anti-Physical",IF(G179="warding","Anti-Magical","Physical"))))</f>
        <v/>
      </c>
      <c r="O179">
        <f>IF(F179&lt;&gt;"armor","","TBD")</f>
        <v/>
      </c>
      <c r="P179">
        <f>IF(O179="","",IF(OR(G179="channeling",G179="infusing"),"Magical",IF(G179="blocking","Anti-Physical",IF(G179="warding","Anti-Magical","Physical"))))</f>
        <v/>
      </c>
    </row>
    <row r="180">
      <c r="J180">
        <f>IF(G180="","",IFERROR(IF(G180="infusing",IFERROR(LOOKUP(2,1/ISNUMBER(SEARCH(_lookup!$D$3:$D$4,H180)),_lookup!$E$3:$E$4),"INT"),VLOOKUP(G180,_lookup!$A$3:$B$14,2,FALSE)),""))</f>
        <v/>
      </c>
      <c r="K180">
        <f>IF(F180&lt;&gt;"weapon","",IF(G180="miscellaneous","1-4",IF(I180="","",IFERROR(VLOOKUP(I180&amp;"|"&amp;IF(LEFT(H180,2)="2H",2,1)&amp;"|"&amp;IF(G180="slashing",1,0),_lookup!$G$3:$H$18,2,FALSE),""))))</f>
        <v/>
      </c>
      <c r="L180">
        <f>IF(K180="","",IF(OR(G180="channeling",G180="infusing"),"Magical",IF(G180="blocking","Anti-Physical",IF(G180="warding","Anti-Magical","Physical"))))</f>
        <v/>
      </c>
      <c r="O180">
        <f>IF(F180&lt;&gt;"armor","","TBD")</f>
        <v/>
      </c>
      <c r="P180">
        <f>IF(O180="","",IF(OR(G180="channeling",G180="infusing"),"Magical",IF(G180="blocking","Anti-Physical",IF(G180="warding","Anti-Magical","Physical"))))</f>
        <v/>
      </c>
    </row>
    <row r="181">
      <c r="J181">
        <f>IF(G181="","",IFERROR(IF(G181="infusing",IFERROR(LOOKUP(2,1/ISNUMBER(SEARCH(_lookup!$D$3:$D$4,H181)),_lookup!$E$3:$E$4),"INT"),VLOOKUP(G181,_lookup!$A$3:$B$14,2,FALSE)),""))</f>
        <v/>
      </c>
      <c r="K181">
        <f>IF(F181&lt;&gt;"weapon","",IF(G181="miscellaneous","1-4",IF(I181="","",IFERROR(VLOOKUP(I181&amp;"|"&amp;IF(LEFT(H181,2)="2H",2,1)&amp;"|"&amp;IF(G181="slashing",1,0),_lookup!$G$3:$H$18,2,FALSE),""))))</f>
        <v/>
      </c>
      <c r="L181">
        <f>IF(K181="","",IF(OR(G181="channeling",G181="infusing"),"Magical",IF(G181="blocking","Anti-Physical",IF(G181="warding","Anti-Magical","Physical"))))</f>
        <v/>
      </c>
      <c r="O181">
        <f>IF(F181&lt;&gt;"armor","","TBD")</f>
        <v/>
      </c>
      <c r="P181">
        <f>IF(O181="","",IF(OR(G181="channeling",G181="infusing"),"Magical",IF(G181="blocking","Anti-Physical",IF(G181="warding","Anti-Magical","Physical"))))</f>
        <v/>
      </c>
    </row>
    <row r="182">
      <c r="J182">
        <f>IF(G182="","",IFERROR(IF(G182="infusing",IFERROR(LOOKUP(2,1/ISNUMBER(SEARCH(_lookup!$D$3:$D$4,H182)),_lookup!$E$3:$E$4),"INT"),VLOOKUP(G182,_lookup!$A$3:$B$14,2,FALSE)),""))</f>
        <v/>
      </c>
      <c r="K182">
        <f>IF(F182&lt;&gt;"weapon","",IF(G182="miscellaneous","1-4",IF(I182="","",IFERROR(VLOOKUP(I182&amp;"|"&amp;IF(LEFT(H182,2)="2H",2,1)&amp;"|"&amp;IF(G182="slashing",1,0),_lookup!$G$3:$H$18,2,FALSE),""))))</f>
        <v/>
      </c>
      <c r="L182">
        <f>IF(K182="","",IF(OR(G182="channeling",G182="infusing"),"Magical",IF(G182="blocking","Anti-Physical",IF(G182="warding","Anti-Magical","Physical"))))</f>
        <v/>
      </c>
      <c r="O182">
        <f>IF(F182&lt;&gt;"armor","","TBD")</f>
        <v/>
      </c>
      <c r="P182">
        <f>IF(O182="","",IF(OR(G182="channeling",G182="infusing"),"Magical",IF(G182="blocking","Anti-Physical",IF(G182="warding","Anti-Magical","Physical"))))</f>
        <v/>
      </c>
    </row>
    <row r="183">
      <c r="J183">
        <f>IF(G183="","",IFERROR(IF(G183="infusing",IFERROR(LOOKUP(2,1/ISNUMBER(SEARCH(_lookup!$D$3:$D$4,H183)),_lookup!$E$3:$E$4),"INT"),VLOOKUP(G183,_lookup!$A$3:$B$14,2,FALSE)),""))</f>
        <v/>
      </c>
      <c r="K183">
        <f>IF(F183&lt;&gt;"weapon","",IF(G183="miscellaneous","1-4",IF(I183="","",IFERROR(VLOOKUP(I183&amp;"|"&amp;IF(LEFT(H183,2)="2H",2,1)&amp;"|"&amp;IF(G183="slashing",1,0),_lookup!$G$3:$H$18,2,FALSE),""))))</f>
        <v/>
      </c>
      <c r="L183">
        <f>IF(K183="","",IF(OR(G183="channeling",G183="infusing"),"Magical",IF(G183="blocking","Anti-Physical",IF(G183="warding","Anti-Magical","Physical"))))</f>
        <v/>
      </c>
      <c r="O183">
        <f>IF(F183&lt;&gt;"armor","","TBD")</f>
        <v/>
      </c>
      <c r="P183">
        <f>IF(O183="","",IF(OR(G183="channeling",G183="infusing"),"Magical",IF(G183="blocking","Anti-Physical",IF(G183="warding","Anti-Magical","Physical"))))</f>
        <v/>
      </c>
    </row>
    <row r="184">
      <c r="J184">
        <f>IF(G184="","",IFERROR(IF(G184="infusing",IFERROR(LOOKUP(2,1/ISNUMBER(SEARCH(_lookup!$D$3:$D$4,H184)),_lookup!$E$3:$E$4),"INT"),VLOOKUP(G184,_lookup!$A$3:$B$14,2,FALSE)),""))</f>
        <v/>
      </c>
      <c r="K184">
        <f>IF(F184&lt;&gt;"weapon","",IF(G184="miscellaneous","1-4",IF(I184="","",IFERROR(VLOOKUP(I184&amp;"|"&amp;IF(LEFT(H184,2)="2H",2,1)&amp;"|"&amp;IF(G184="slashing",1,0),_lookup!$G$3:$H$18,2,FALSE),""))))</f>
        <v/>
      </c>
      <c r="L184">
        <f>IF(K184="","",IF(OR(G184="channeling",G184="infusing"),"Magical",IF(G184="blocking","Anti-Physical",IF(G184="warding","Anti-Magical","Physical"))))</f>
        <v/>
      </c>
      <c r="O184">
        <f>IF(F184&lt;&gt;"armor","","TBD")</f>
        <v/>
      </c>
      <c r="P184">
        <f>IF(O184="","",IF(OR(G184="channeling",G184="infusing"),"Magical",IF(G184="blocking","Anti-Physical",IF(G184="warding","Anti-Magical","Physical"))))</f>
        <v/>
      </c>
    </row>
    <row r="185">
      <c r="J185">
        <f>IF(G185="","",IFERROR(IF(G185="infusing",IFERROR(LOOKUP(2,1/ISNUMBER(SEARCH(_lookup!$D$3:$D$4,H185)),_lookup!$E$3:$E$4),"INT"),VLOOKUP(G185,_lookup!$A$3:$B$14,2,FALSE)),""))</f>
        <v/>
      </c>
      <c r="K185">
        <f>IF(F185&lt;&gt;"weapon","",IF(G185="miscellaneous","1-4",IF(I185="","",IFERROR(VLOOKUP(I185&amp;"|"&amp;IF(LEFT(H185,2)="2H",2,1)&amp;"|"&amp;IF(G185="slashing",1,0),_lookup!$G$3:$H$18,2,FALSE),""))))</f>
        <v/>
      </c>
      <c r="L185">
        <f>IF(K185="","",IF(OR(G185="channeling",G185="infusing"),"Magical",IF(G185="blocking","Anti-Physical",IF(G185="warding","Anti-Magical","Physical"))))</f>
        <v/>
      </c>
      <c r="O185">
        <f>IF(F185&lt;&gt;"armor","","TBD")</f>
        <v/>
      </c>
      <c r="P185">
        <f>IF(O185="","",IF(OR(G185="channeling",G185="infusing"),"Magical",IF(G185="blocking","Anti-Physical",IF(G185="warding","Anti-Magical","Physical"))))</f>
        <v/>
      </c>
    </row>
    <row r="186">
      <c r="J186">
        <f>IF(G186="","",IFERROR(IF(G186="infusing",IFERROR(LOOKUP(2,1/ISNUMBER(SEARCH(_lookup!$D$3:$D$4,H186)),_lookup!$E$3:$E$4),"INT"),VLOOKUP(G186,_lookup!$A$3:$B$14,2,FALSE)),""))</f>
        <v/>
      </c>
      <c r="K186">
        <f>IF(F186&lt;&gt;"weapon","",IF(G186="miscellaneous","1-4",IF(I186="","",IFERROR(VLOOKUP(I186&amp;"|"&amp;IF(LEFT(H186,2)="2H",2,1)&amp;"|"&amp;IF(G186="slashing",1,0),_lookup!$G$3:$H$18,2,FALSE),""))))</f>
        <v/>
      </c>
      <c r="L186">
        <f>IF(K186="","",IF(OR(G186="channeling",G186="infusing"),"Magical",IF(G186="blocking","Anti-Physical",IF(G186="warding","Anti-Magical","Physical"))))</f>
        <v/>
      </c>
      <c r="O186">
        <f>IF(F186&lt;&gt;"armor","","TBD")</f>
        <v/>
      </c>
      <c r="P186">
        <f>IF(O186="","",IF(OR(G186="channeling",G186="infusing"),"Magical",IF(G186="blocking","Anti-Physical",IF(G186="warding","Anti-Magical","Physical"))))</f>
        <v/>
      </c>
    </row>
    <row r="187">
      <c r="J187">
        <f>IF(G187="","",IFERROR(IF(G187="infusing",IFERROR(LOOKUP(2,1/ISNUMBER(SEARCH(_lookup!$D$3:$D$4,H187)),_lookup!$E$3:$E$4),"INT"),VLOOKUP(G187,_lookup!$A$3:$B$14,2,FALSE)),""))</f>
        <v/>
      </c>
      <c r="K187">
        <f>IF(F187&lt;&gt;"weapon","",IF(G187="miscellaneous","1-4",IF(I187="","",IFERROR(VLOOKUP(I187&amp;"|"&amp;IF(LEFT(H187,2)="2H",2,1)&amp;"|"&amp;IF(G187="slashing",1,0),_lookup!$G$3:$H$18,2,FALSE),""))))</f>
        <v/>
      </c>
      <c r="L187">
        <f>IF(K187="","",IF(OR(G187="channeling",G187="infusing"),"Magical",IF(G187="blocking","Anti-Physical",IF(G187="warding","Anti-Magical","Physical"))))</f>
        <v/>
      </c>
      <c r="O187">
        <f>IF(F187&lt;&gt;"armor","","TBD")</f>
        <v/>
      </c>
      <c r="P187">
        <f>IF(O187="","",IF(OR(G187="channeling",G187="infusing"),"Magical",IF(G187="blocking","Anti-Physical",IF(G187="warding","Anti-Magical","Physical"))))</f>
        <v/>
      </c>
    </row>
    <row r="188">
      <c r="J188">
        <f>IF(G188="","",IFERROR(IF(G188="infusing",IFERROR(LOOKUP(2,1/ISNUMBER(SEARCH(_lookup!$D$3:$D$4,H188)),_lookup!$E$3:$E$4),"INT"),VLOOKUP(G188,_lookup!$A$3:$B$14,2,FALSE)),""))</f>
        <v/>
      </c>
      <c r="K188">
        <f>IF(F188&lt;&gt;"weapon","",IF(G188="miscellaneous","1-4",IF(I188="","",IFERROR(VLOOKUP(I188&amp;"|"&amp;IF(LEFT(H188,2)="2H",2,1)&amp;"|"&amp;IF(G188="slashing",1,0),_lookup!$G$3:$H$18,2,FALSE),""))))</f>
        <v/>
      </c>
      <c r="L188">
        <f>IF(K188="","",IF(OR(G188="channeling",G188="infusing"),"Magical",IF(G188="blocking","Anti-Physical",IF(G188="warding","Anti-Magical","Physical"))))</f>
        <v/>
      </c>
      <c r="O188">
        <f>IF(F188&lt;&gt;"armor","","TBD")</f>
        <v/>
      </c>
      <c r="P188">
        <f>IF(O188="","",IF(OR(G188="channeling",G188="infusing"),"Magical",IF(G188="blocking","Anti-Physical",IF(G188="warding","Anti-Magical","Physical"))))</f>
        <v/>
      </c>
    </row>
    <row r="189">
      <c r="J189">
        <f>IF(G189="","",IFERROR(IF(G189="infusing",IFERROR(LOOKUP(2,1/ISNUMBER(SEARCH(_lookup!$D$3:$D$4,H189)),_lookup!$E$3:$E$4),"INT"),VLOOKUP(G189,_lookup!$A$3:$B$14,2,FALSE)),""))</f>
        <v/>
      </c>
      <c r="K189">
        <f>IF(F189&lt;&gt;"weapon","",IF(G189="miscellaneous","1-4",IF(I189="","",IFERROR(VLOOKUP(I189&amp;"|"&amp;IF(LEFT(H189,2)="2H",2,1)&amp;"|"&amp;IF(G189="slashing",1,0),_lookup!$G$3:$H$18,2,FALSE),""))))</f>
        <v/>
      </c>
      <c r="L189">
        <f>IF(K189="","",IF(OR(G189="channeling",G189="infusing"),"Magical",IF(G189="blocking","Anti-Physical",IF(G189="warding","Anti-Magical","Physical"))))</f>
        <v/>
      </c>
      <c r="O189">
        <f>IF(F189&lt;&gt;"armor","","TBD")</f>
        <v/>
      </c>
      <c r="P189">
        <f>IF(O189="","",IF(OR(G189="channeling",G189="infusing"),"Magical",IF(G189="blocking","Anti-Physical",IF(G189="warding","Anti-Magical","Physical"))))</f>
        <v/>
      </c>
    </row>
    <row r="190">
      <c r="J190">
        <f>IF(G190="","",IFERROR(IF(G190="infusing",IFERROR(LOOKUP(2,1/ISNUMBER(SEARCH(_lookup!$D$3:$D$4,H190)),_lookup!$E$3:$E$4),"INT"),VLOOKUP(G190,_lookup!$A$3:$B$14,2,FALSE)),""))</f>
        <v/>
      </c>
      <c r="K190">
        <f>IF(F190&lt;&gt;"weapon","",IF(G190="miscellaneous","1-4",IF(I190="","",IFERROR(VLOOKUP(I190&amp;"|"&amp;IF(LEFT(H190,2)="2H",2,1)&amp;"|"&amp;IF(G190="slashing",1,0),_lookup!$G$3:$H$18,2,FALSE),""))))</f>
        <v/>
      </c>
      <c r="L190">
        <f>IF(K190="","",IF(OR(G190="channeling",G190="infusing"),"Magical",IF(G190="blocking","Anti-Physical",IF(G190="warding","Anti-Magical","Physical"))))</f>
        <v/>
      </c>
      <c r="O190">
        <f>IF(F190&lt;&gt;"armor","","TBD")</f>
        <v/>
      </c>
      <c r="P190">
        <f>IF(O190="","",IF(OR(G190="channeling",G190="infusing"),"Magical",IF(G190="blocking","Anti-Physical",IF(G190="warding","Anti-Magical","Physical"))))</f>
        <v/>
      </c>
    </row>
    <row r="191">
      <c r="J191">
        <f>IF(G191="","",IFERROR(IF(G191="infusing",IFERROR(LOOKUP(2,1/ISNUMBER(SEARCH(_lookup!$D$3:$D$4,H191)),_lookup!$E$3:$E$4),"INT"),VLOOKUP(G191,_lookup!$A$3:$B$14,2,FALSE)),""))</f>
        <v/>
      </c>
      <c r="K191">
        <f>IF(F191&lt;&gt;"weapon","",IF(G191="miscellaneous","1-4",IF(I191="","",IFERROR(VLOOKUP(I191&amp;"|"&amp;IF(LEFT(H191,2)="2H",2,1)&amp;"|"&amp;IF(G191="slashing",1,0),_lookup!$G$3:$H$18,2,FALSE),""))))</f>
        <v/>
      </c>
      <c r="L191">
        <f>IF(K191="","",IF(OR(G191="channeling",G191="infusing"),"Magical",IF(G191="blocking","Anti-Physical",IF(G191="warding","Anti-Magical","Physical"))))</f>
        <v/>
      </c>
      <c r="O191">
        <f>IF(F191&lt;&gt;"armor","","TBD")</f>
        <v/>
      </c>
      <c r="P191">
        <f>IF(O191="","",IF(OR(G191="channeling",G191="infusing"),"Magical",IF(G191="blocking","Anti-Physical",IF(G191="warding","Anti-Magical","Physical"))))</f>
        <v/>
      </c>
    </row>
    <row r="192">
      <c r="J192">
        <f>IF(G192="","",IFERROR(IF(G192="infusing",IFERROR(LOOKUP(2,1/ISNUMBER(SEARCH(_lookup!$D$3:$D$4,H192)),_lookup!$E$3:$E$4),"INT"),VLOOKUP(G192,_lookup!$A$3:$B$14,2,FALSE)),""))</f>
        <v/>
      </c>
      <c r="K192">
        <f>IF(F192&lt;&gt;"weapon","",IF(G192="miscellaneous","1-4",IF(I192="","",IFERROR(VLOOKUP(I192&amp;"|"&amp;IF(LEFT(H192,2)="2H",2,1)&amp;"|"&amp;IF(G192="slashing",1,0),_lookup!$G$3:$H$18,2,FALSE),""))))</f>
        <v/>
      </c>
      <c r="L192">
        <f>IF(K192="","",IF(OR(G192="channeling",G192="infusing"),"Magical",IF(G192="blocking","Anti-Physical",IF(G192="warding","Anti-Magical","Physical"))))</f>
        <v/>
      </c>
      <c r="O192">
        <f>IF(F192&lt;&gt;"armor","","TBD")</f>
        <v/>
      </c>
      <c r="P192">
        <f>IF(O192="","",IF(OR(G192="channeling",G192="infusing"),"Magical",IF(G192="blocking","Anti-Physical",IF(G192="warding","Anti-Magical","Physical"))))</f>
        <v/>
      </c>
    </row>
    <row r="193">
      <c r="J193">
        <f>IF(G193="","",IFERROR(IF(G193="infusing",IFERROR(LOOKUP(2,1/ISNUMBER(SEARCH(_lookup!$D$3:$D$4,H193)),_lookup!$E$3:$E$4),"INT"),VLOOKUP(G193,_lookup!$A$3:$B$14,2,FALSE)),""))</f>
        <v/>
      </c>
      <c r="K193">
        <f>IF(F193&lt;&gt;"weapon","",IF(G193="miscellaneous","1-4",IF(I193="","",IFERROR(VLOOKUP(I193&amp;"|"&amp;IF(LEFT(H193,2)="2H",2,1)&amp;"|"&amp;IF(G193="slashing",1,0),_lookup!$G$3:$H$18,2,FALSE),""))))</f>
        <v/>
      </c>
      <c r="L193">
        <f>IF(K193="","",IF(OR(G193="channeling",G193="infusing"),"Magical",IF(G193="blocking","Anti-Physical",IF(G193="warding","Anti-Magical","Physical"))))</f>
        <v/>
      </c>
      <c r="O193">
        <f>IF(F193&lt;&gt;"armor","","TBD")</f>
        <v/>
      </c>
      <c r="P193">
        <f>IF(O193="","",IF(OR(G193="channeling",G193="infusing"),"Magical",IF(G193="blocking","Anti-Physical",IF(G193="warding","Anti-Magical","Physical"))))</f>
        <v/>
      </c>
    </row>
    <row r="194">
      <c r="J194">
        <f>IF(G194="","",IFERROR(IF(G194="infusing",IFERROR(LOOKUP(2,1/ISNUMBER(SEARCH(_lookup!$D$3:$D$4,H194)),_lookup!$E$3:$E$4),"INT"),VLOOKUP(G194,_lookup!$A$3:$B$14,2,FALSE)),""))</f>
        <v/>
      </c>
      <c r="K194">
        <f>IF(F194&lt;&gt;"weapon","",IF(G194="miscellaneous","1-4",IF(I194="","",IFERROR(VLOOKUP(I194&amp;"|"&amp;IF(LEFT(H194,2)="2H",2,1)&amp;"|"&amp;IF(G194="slashing",1,0),_lookup!$G$3:$H$18,2,FALSE),""))))</f>
        <v/>
      </c>
      <c r="L194">
        <f>IF(K194="","",IF(OR(G194="channeling",G194="infusing"),"Magical",IF(G194="blocking","Anti-Physical",IF(G194="warding","Anti-Magical","Physical"))))</f>
        <v/>
      </c>
      <c r="O194">
        <f>IF(F194&lt;&gt;"armor","","TBD")</f>
        <v/>
      </c>
      <c r="P194">
        <f>IF(O194="","",IF(OR(G194="channeling",G194="infusing"),"Magical",IF(G194="blocking","Anti-Physical",IF(G194="warding","Anti-Magical","Physical"))))</f>
        <v/>
      </c>
    </row>
    <row r="195">
      <c r="J195">
        <f>IF(G195="","",IFERROR(IF(G195="infusing",IFERROR(LOOKUP(2,1/ISNUMBER(SEARCH(_lookup!$D$3:$D$4,H195)),_lookup!$E$3:$E$4),"INT"),VLOOKUP(G195,_lookup!$A$3:$B$14,2,FALSE)),""))</f>
        <v/>
      </c>
      <c r="K195">
        <f>IF(F195&lt;&gt;"weapon","",IF(G195="miscellaneous","1-4",IF(I195="","",IFERROR(VLOOKUP(I195&amp;"|"&amp;IF(LEFT(H195,2)="2H",2,1)&amp;"|"&amp;IF(G195="slashing",1,0),_lookup!$G$3:$H$18,2,FALSE),""))))</f>
        <v/>
      </c>
      <c r="L195">
        <f>IF(K195="","",IF(OR(G195="channeling",G195="infusing"),"Magical",IF(G195="blocking","Anti-Physical",IF(G195="warding","Anti-Magical","Physical"))))</f>
        <v/>
      </c>
      <c r="O195">
        <f>IF(F195&lt;&gt;"armor","","TBD")</f>
        <v/>
      </c>
      <c r="P195">
        <f>IF(O195="","",IF(OR(G195="channeling",G195="infusing"),"Magical",IF(G195="blocking","Anti-Physical",IF(G195="warding","Anti-Magical","Physical"))))</f>
        <v/>
      </c>
    </row>
    <row r="196">
      <c r="J196">
        <f>IF(G196="","",IFERROR(IF(G196="infusing",IFERROR(LOOKUP(2,1/ISNUMBER(SEARCH(_lookup!$D$3:$D$4,H196)),_lookup!$E$3:$E$4),"INT"),VLOOKUP(G196,_lookup!$A$3:$B$14,2,FALSE)),""))</f>
        <v/>
      </c>
      <c r="K196">
        <f>IF(F196&lt;&gt;"weapon","",IF(G196="miscellaneous","1-4",IF(I196="","",IFERROR(VLOOKUP(I196&amp;"|"&amp;IF(LEFT(H196,2)="2H",2,1)&amp;"|"&amp;IF(G196="slashing",1,0),_lookup!$G$3:$H$18,2,FALSE),""))))</f>
        <v/>
      </c>
      <c r="L196">
        <f>IF(K196="","",IF(OR(G196="channeling",G196="infusing"),"Magical",IF(G196="blocking","Anti-Physical",IF(G196="warding","Anti-Magical","Physical"))))</f>
        <v/>
      </c>
      <c r="O196">
        <f>IF(F196&lt;&gt;"armor","","TBD")</f>
        <v/>
      </c>
      <c r="P196">
        <f>IF(O196="","",IF(OR(G196="channeling",G196="infusing"),"Magical",IF(G196="blocking","Anti-Physical",IF(G196="warding","Anti-Magical","Physical"))))</f>
        <v/>
      </c>
    </row>
    <row r="197">
      <c r="J197">
        <f>IF(G197="","",IFERROR(IF(G197="infusing",IFERROR(LOOKUP(2,1/ISNUMBER(SEARCH(_lookup!$D$3:$D$4,H197)),_lookup!$E$3:$E$4),"INT"),VLOOKUP(G197,_lookup!$A$3:$B$14,2,FALSE)),""))</f>
        <v/>
      </c>
      <c r="K197">
        <f>IF(F197&lt;&gt;"weapon","",IF(G197="miscellaneous","1-4",IF(I197="","",IFERROR(VLOOKUP(I197&amp;"|"&amp;IF(LEFT(H197,2)="2H",2,1)&amp;"|"&amp;IF(G197="slashing",1,0),_lookup!$G$3:$H$18,2,FALSE),""))))</f>
        <v/>
      </c>
      <c r="L197">
        <f>IF(K197="","",IF(OR(G197="channeling",G197="infusing"),"Magical",IF(G197="blocking","Anti-Physical",IF(G197="warding","Anti-Magical","Physical"))))</f>
        <v/>
      </c>
      <c r="O197">
        <f>IF(F197&lt;&gt;"armor","","TBD")</f>
        <v/>
      </c>
      <c r="P197">
        <f>IF(O197="","",IF(OR(G197="channeling",G197="infusing"),"Magical",IF(G197="blocking","Anti-Physical",IF(G197="warding","Anti-Magical","Physical"))))</f>
        <v/>
      </c>
    </row>
    <row r="198">
      <c r="J198">
        <f>IF(G198="","",IFERROR(IF(G198="infusing",IFERROR(LOOKUP(2,1/ISNUMBER(SEARCH(_lookup!$D$3:$D$4,H198)),_lookup!$E$3:$E$4),"INT"),VLOOKUP(G198,_lookup!$A$3:$B$14,2,FALSE)),""))</f>
        <v/>
      </c>
      <c r="K198">
        <f>IF(F198&lt;&gt;"weapon","",IF(G198="miscellaneous","1-4",IF(I198="","",IFERROR(VLOOKUP(I198&amp;"|"&amp;IF(LEFT(H198,2)="2H",2,1)&amp;"|"&amp;IF(G198="slashing",1,0),_lookup!$G$3:$H$18,2,FALSE),""))))</f>
        <v/>
      </c>
      <c r="L198">
        <f>IF(K198="","",IF(OR(G198="channeling",G198="infusing"),"Magical",IF(G198="blocking","Anti-Physical",IF(G198="warding","Anti-Magical","Physical"))))</f>
        <v/>
      </c>
      <c r="O198">
        <f>IF(F198&lt;&gt;"armor","","TBD")</f>
        <v/>
      </c>
      <c r="P198">
        <f>IF(O198="","",IF(OR(G198="channeling",G198="infusing"),"Magical",IF(G198="blocking","Anti-Physical",IF(G198="warding","Anti-Magical","Physical"))))</f>
        <v/>
      </c>
    </row>
    <row r="199">
      <c r="J199">
        <f>IF(G199="","",IFERROR(IF(G199="infusing",IFERROR(LOOKUP(2,1/ISNUMBER(SEARCH(_lookup!$D$3:$D$4,H199)),_lookup!$E$3:$E$4),"INT"),VLOOKUP(G199,_lookup!$A$3:$B$14,2,FALSE)),""))</f>
        <v/>
      </c>
      <c r="K199">
        <f>IF(F199&lt;&gt;"weapon","",IF(G199="miscellaneous","1-4",IF(I199="","",IFERROR(VLOOKUP(I199&amp;"|"&amp;IF(LEFT(H199,2)="2H",2,1)&amp;"|"&amp;IF(G199="slashing",1,0),_lookup!$G$3:$H$18,2,FALSE),""))))</f>
        <v/>
      </c>
      <c r="L199">
        <f>IF(K199="","",IF(OR(G199="channeling",G199="infusing"),"Magical",IF(G199="blocking","Anti-Physical",IF(G199="warding","Anti-Magical","Physical"))))</f>
        <v/>
      </c>
      <c r="O199">
        <f>IF(F199&lt;&gt;"armor","","TBD")</f>
        <v/>
      </c>
      <c r="P199">
        <f>IF(O199="","",IF(OR(G199="channeling",G199="infusing"),"Magical",IF(G199="blocking","Anti-Physical",IF(G199="warding","Anti-Magical","Physical"))))</f>
        <v/>
      </c>
    </row>
    <row r="200">
      <c r="J200">
        <f>IF(G200="","",IFERROR(IF(G200="infusing",IFERROR(LOOKUP(2,1/ISNUMBER(SEARCH(_lookup!$D$3:$D$4,H200)),_lookup!$E$3:$E$4),"INT"),VLOOKUP(G200,_lookup!$A$3:$B$14,2,FALSE)),""))</f>
        <v/>
      </c>
      <c r="K200">
        <f>IF(F200&lt;&gt;"weapon","",IF(G200="miscellaneous","1-4",IF(I200="","",IFERROR(VLOOKUP(I200&amp;"|"&amp;IF(LEFT(H200,2)="2H",2,1)&amp;"|"&amp;IF(G200="slashing",1,0),_lookup!$G$3:$H$18,2,FALSE),""))))</f>
        <v/>
      </c>
      <c r="L200">
        <f>IF(K200="","",IF(OR(G200="channeling",G200="infusing"),"Magical",IF(G200="blocking","Anti-Physical",IF(G200="warding","Anti-Magical","Physical"))))</f>
        <v/>
      </c>
      <c r="O200">
        <f>IF(F200&lt;&gt;"armor","","TBD")</f>
        <v/>
      </c>
      <c r="P200">
        <f>IF(O200="","",IF(OR(G200="channeling",G200="infusing"),"Magical",IF(G200="blocking","Anti-Physical",IF(G200="warding","Anti-Magical","Physical"))))</f>
        <v/>
      </c>
    </row>
    <row r="201">
      <c r="J201">
        <f>IF(G201="","",IFERROR(IF(G201="infusing",IFERROR(LOOKUP(2,1/ISNUMBER(SEARCH(_lookup!$D$3:$D$4,H201)),_lookup!$E$3:$E$4),"INT"),VLOOKUP(G201,_lookup!$A$3:$B$14,2,FALSE)),""))</f>
        <v/>
      </c>
      <c r="K201">
        <f>IF(F201&lt;&gt;"weapon","",IF(G201="miscellaneous","1-4",IF(I201="","",IFERROR(VLOOKUP(I201&amp;"|"&amp;IF(LEFT(H201,2)="2H",2,1)&amp;"|"&amp;IF(G201="slashing",1,0),_lookup!$G$3:$H$18,2,FALSE),""))))</f>
        <v/>
      </c>
      <c r="L201">
        <f>IF(K201="","",IF(OR(G201="channeling",G201="infusing"),"Magical",IF(G201="blocking","Anti-Physical",IF(G201="warding","Anti-Magical","Physical"))))</f>
        <v/>
      </c>
      <c r="O201">
        <f>IF(F201&lt;&gt;"armor","","TBD")</f>
        <v/>
      </c>
      <c r="P201">
        <f>IF(O201="","",IF(OR(G201="channeling",G201="infusing"),"Magical",IF(G201="blocking","Anti-Physical",IF(G201="warding","Anti-Magical","Physical"))))</f>
        <v/>
      </c>
    </row>
    <row r="202">
      <c r="J202">
        <f>IF(G202="","",IFERROR(IF(G202="infusing",IFERROR(LOOKUP(2,1/ISNUMBER(SEARCH(_lookup!$D$3:$D$4,H202)),_lookup!$E$3:$E$4),"INT"),VLOOKUP(G202,_lookup!$A$3:$B$14,2,FALSE)),""))</f>
        <v/>
      </c>
      <c r="K202">
        <f>IF(F202&lt;&gt;"weapon","",IF(G202="miscellaneous","1-4",IF(I202="","",IFERROR(VLOOKUP(I202&amp;"|"&amp;IF(LEFT(H202,2)="2H",2,1)&amp;"|"&amp;IF(G202="slashing",1,0),_lookup!$G$3:$H$18,2,FALSE),""))))</f>
        <v/>
      </c>
      <c r="L202">
        <f>IF(K202="","",IF(OR(G202="channeling",G202="infusing"),"Magical",IF(G202="blocking","Anti-Physical",IF(G202="warding","Anti-Magical","Physical"))))</f>
        <v/>
      </c>
      <c r="O202">
        <f>IF(F202&lt;&gt;"armor","","TBD")</f>
        <v/>
      </c>
      <c r="P202">
        <f>IF(O202="","",IF(OR(G202="channeling",G202="infusing"),"Magical",IF(G202="blocking","Anti-Physical",IF(G202="warding","Anti-Magical","Physical"))))</f>
        <v/>
      </c>
    </row>
    <row r="203">
      <c r="J203">
        <f>IF(G203="","",IFERROR(IF(G203="infusing",IFERROR(LOOKUP(2,1/ISNUMBER(SEARCH(_lookup!$D$3:$D$4,H203)),_lookup!$E$3:$E$4),"INT"),VLOOKUP(G203,_lookup!$A$3:$B$14,2,FALSE)),""))</f>
        <v/>
      </c>
      <c r="K203">
        <f>IF(F203&lt;&gt;"weapon","",IF(G203="miscellaneous","1-4",IF(I203="","",IFERROR(VLOOKUP(I203&amp;"|"&amp;IF(LEFT(H203,2)="2H",2,1)&amp;"|"&amp;IF(G203="slashing",1,0),_lookup!$G$3:$H$18,2,FALSE),""))))</f>
        <v/>
      </c>
      <c r="L203">
        <f>IF(K203="","",IF(OR(G203="channeling",G203="infusing"),"Magical",IF(G203="blocking","Anti-Physical",IF(G203="warding","Anti-Magical","Physical"))))</f>
        <v/>
      </c>
      <c r="O203">
        <f>IF(F203&lt;&gt;"armor","","TBD")</f>
        <v/>
      </c>
      <c r="P203">
        <f>IF(O203="","",IF(OR(G203="channeling",G203="infusing"),"Magical",IF(G203="blocking","Anti-Physical",IF(G203="warding","Anti-Magical","Physical"))))</f>
        <v/>
      </c>
    </row>
    <row r="204">
      <c r="J204">
        <f>IF(G204="","",IFERROR(IF(G204="infusing",IFERROR(LOOKUP(2,1/ISNUMBER(SEARCH(_lookup!$D$3:$D$4,H204)),_lookup!$E$3:$E$4),"INT"),VLOOKUP(G204,_lookup!$A$3:$B$14,2,FALSE)),""))</f>
        <v/>
      </c>
      <c r="K204">
        <f>IF(F204&lt;&gt;"weapon","",IF(G204="miscellaneous","1-4",IF(I204="","",IFERROR(VLOOKUP(I204&amp;"|"&amp;IF(LEFT(H204,2)="2H",2,1)&amp;"|"&amp;IF(G204="slashing",1,0),_lookup!$G$3:$H$18,2,FALSE),""))))</f>
        <v/>
      </c>
      <c r="L204">
        <f>IF(K204="","",IF(OR(G204="channeling",G204="infusing"),"Magical",IF(G204="blocking","Anti-Physical",IF(G204="warding","Anti-Magical","Physical"))))</f>
        <v/>
      </c>
      <c r="O204">
        <f>IF(F204&lt;&gt;"armor","","TBD")</f>
        <v/>
      </c>
      <c r="P204">
        <f>IF(O204="","",IF(OR(G204="channeling",G204="infusing"),"Magical",IF(G204="blocking","Anti-Physical",IF(G204="warding","Anti-Magical","Physical"))))</f>
        <v/>
      </c>
    </row>
    <row r="205">
      <c r="J205">
        <f>IF(G205="","",IFERROR(IF(G205="infusing",IFERROR(LOOKUP(2,1/ISNUMBER(SEARCH(_lookup!$D$3:$D$4,H205)),_lookup!$E$3:$E$4),"INT"),VLOOKUP(G205,_lookup!$A$3:$B$14,2,FALSE)),""))</f>
        <v/>
      </c>
      <c r="K205">
        <f>IF(F205&lt;&gt;"weapon","",IF(G205="miscellaneous","1-4",IF(I205="","",IFERROR(VLOOKUP(I205&amp;"|"&amp;IF(LEFT(H205,2)="2H",2,1)&amp;"|"&amp;IF(G205="slashing",1,0),_lookup!$G$3:$H$18,2,FALSE),""))))</f>
        <v/>
      </c>
      <c r="L205">
        <f>IF(K205="","",IF(OR(G205="channeling",G205="infusing"),"Magical",IF(G205="blocking","Anti-Physical",IF(G205="warding","Anti-Magical","Physical"))))</f>
        <v/>
      </c>
      <c r="O205">
        <f>IF(F205&lt;&gt;"armor","","TBD")</f>
        <v/>
      </c>
      <c r="P205">
        <f>IF(O205="","",IF(OR(G205="channeling",G205="infusing"),"Magical",IF(G205="blocking","Anti-Physical",IF(G205="warding","Anti-Magical","Physical"))))</f>
        <v/>
      </c>
    </row>
    <row r="206">
      <c r="J206">
        <f>IF(G206="","",IFERROR(IF(G206="infusing",IFERROR(LOOKUP(2,1/ISNUMBER(SEARCH(_lookup!$D$3:$D$4,H206)),_lookup!$E$3:$E$4),"INT"),VLOOKUP(G206,_lookup!$A$3:$B$14,2,FALSE)),""))</f>
        <v/>
      </c>
      <c r="K206">
        <f>IF(F206&lt;&gt;"weapon","",IF(G206="miscellaneous","1-4",IF(I206="","",IFERROR(VLOOKUP(I206&amp;"|"&amp;IF(LEFT(H206,2)="2H",2,1)&amp;"|"&amp;IF(G206="slashing",1,0),_lookup!$G$3:$H$18,2,FALSE),""))))</f>
        <v/>
      </c>
      <c r="L206">
        <f>IF(K206="","",IF(OR(G206="channeling",G206="infusing"),"Magical",IF(G206="blocking","Anti-Physical",IF(G206="warding","Anti-Magical","Physical"))))</f>
        <v/>
      </c>
      <c r="O206">
        <f>IF(F206&lt;&gt;"armor","","TBD")</f>
        <v/>
      </c>
      <c r="P206">
        <f>IF(O206="","",IF(OR(G206="channeling",G206="infusing"),"Magical",IF(G206="blocking","Anti-Physical",IF(G206="warding","Anti-Magical","Physical"))))</f>
        <v/>
      </c>
    </row>
    <row r="207">
      <c r="J207">
        <f>IF(G207="","",IFERROR(IF(G207="infusing",IFERROR(LOOKUP(2,1/ISNUMBER(SEARCH(_lookup!$D$3:$D$4,H207)),_lookup!$E$3:$E$4),"INT"),VLOOKUP(G207,_lookup!$A$3:$B$14,2,FALSE)),""))</f>
        <v/>
      </c>
      <c r="K207">
        <f>IF(F207&lt;&gt;"weapon","",IF(G207="miscellaneous","1-4",IF(I207="","",IFERROR(VLOOKUP(I207&amp;"|"&amp;IF(LEFT(H207,2)="2H",2,1)&amp;"|"&amp;IF(G207="slashing",1,0),_lookup!$G$3:$H$18,2,FALSE),""))))</f>
        <v/>
      </c>
      <c r="L207">
        <f>IF(K207="","",IF(OR(G207="channeling",G207="infusing"),"Magical",IF(G207="blocking","Anti-Physical",IF(G207="warding","Anti-Magical","Physical"))))</f>
        <v/>
      </c>
      <c r="O207">
        <f>IF(F207&lt;&gt;"armor","","TBD")</f>
        <v/>
      </c>
      <c r="P207">
        <f>IF(O207="","",IF(OR(G207="channeling",G207="infusing"),"Magical",IF(G207="blocking","Anti-Physical",IF(G207="warding","Anti-Magical","Physical"))))</f>
        <v/>
      </c>
    </row>
    <row r="208">
      <c r="J208">
        <f>IF(G208="","",IFERROR(IF(G208="infusing",IFERROR(LOOKUP(2,1/ISNUMBER(SEARCH(_lookup!$D$3:$D$4,H208)),_lookup!$E$3:$E$4),"INT"),VLOOKUP(G208,_lookup!$A$3:$B$14,2,FALSE)),""))</f>
        <v/>
      </c>
      <c r="K208">
        <f>IF(F208&lt;&gt;"weapon","",IF(G208="miscellaneous","1-4",IF(I208="","",IFERROR(VLOOKUP(I208&amp;"|"&amp;IF(LEFT(H208,2)="2H",2,1)&amp;"|"&amp;IF(G208="slashing",1,0),_lookup!$G$3:$H$18,2,FALSE),""))))</f>
        <v/>
      </c>
      <c r="L208">
        <f>IF(K208="","",IF(OR(G208="channeling",G208="infusing"),"Magical",IF(G208="blocking","Anti-Physical",IF(G208="warding","Anti-Magical","Physical"))))</f>
        <v/>
      </c>
      <c r="O208">
        <f>IF(F208&lt;&gt;"armor","","TBD")</f>
        <v/>
      </c>
      <c r="P208">
        <f>IF(O208="","",IF(OR(G208="channeling",G208="infusing"),"Magical",IF(G208="blocking","Anti-Physical",IF(G208="warding","Anti-Magical","Physical"))))</f>
        <v/>
      </c>
    </row>
    <row r="209">
      <c r="J209">
        <f>IF(G209="","",IFERROR(IF(G209="infusing",IFERROR(LOOKUP(2,1/ISNUMBER(SEARCH(_lookup!$D$3:$D$4,H209)),_lookup!$E$3:$E$4),"INT"),VLOOKUP(G209,_lookup!$A$3:$B$14,2,FALSE)),""))</f>
        <v/>
      </c>
      <c r="K209">
        <f>IF(F209&lt;&gt;"weapon","",IF(G209="miscellaneous","1-4",IF(I209="","",IFERROR(VLOOKUP(I209&amp;"|"&amp;IF(LEFT(H209,2)="2H",2,1)&amp;"|"&amp;IF(G209="slashing",1,0),_lookup!$G$3:$H$18,2,FALSE),""))))</f>
        <v/>
      </c>
      <c r="L209">
        <f>IF(K209="","",IF(OR(G209="channeling",G209="infusing"),"Magical",IF(G209="blocking","Anti-Physical",IF(G209="warding","Anti-Magical","Physical"))))</f>
        <v/>
      </c>
      <c r="O209">
        <f>IF(F209&lt;&gt;"armor","","TBD")</f>
        <v/>
      </c>
      <c r="P209">
        <f>IF(O209="","",IF(OR(G209="channeling",G209="infusing"),"Magical",IF(G209="blocking","Anti-Physical",IF(G209="warding","Anti-Magical","Physical"))))</f>
        <v/>
      </c>
    </row>
    <row r="210">
      <c r="J210">
        <f>IF(G210="","",IFERROR(IF(G210="infusing",IFERROR(LOOKUP(2,1/ISNUMBER(SEARCH(_lookup!$D$3:$D$4,H210)),_lookup!$E$3:$E$4),"INT"),VLOOKUP(G210,_lookup!$A$3:$B$14,2,FALSE)),""))</f>
        <v/>
      </c>
      <c r="K210">
        <f>IF(F210&lt;&gt;"weapon","",IF(G210="miscellaneous","1-4",IF(I210="","",IFERROR(VLOOKUP(I210&amp;"|"&amp;IF(LEFT(H210,2)="2H",2,1)&amp;"|"&amp;IF(G210="slashing",1,0),_lookup!$G$3:$H$18,2,FALSE),""))))</f>
        <v/>
      </c>
      <c r="L210">
        <f>IF(K210="","",IF(OR(G210="channeling",G210="infusing"),"Magical",IF(G210="blocking","Anti-Physical",IF(G210="warding","Anti-Magical","Physical"))))</f>
        <v/>
      </c>
      <c r="O210">
        <f>IF(F210&lt;&gt;"armor","","TBD")</f>
        <v/>
      </c>
      <c r="P210">
        <f>IF(O210="","",IF(OR(G210="channeling",G210="infusing"),"Magical",IF(G210="blocking","Anti-Physical",IF(G210="warding","Anti-Magical","Physical"))))</f>
        <v/>
      </c>
    </row>
    <row r="211">
      <c r="J211">
        <f>IF(G211="","",IFERROR(IF(G211="infusing",IFERROR(LOOKUP(2,1/ISNUMBER(SEARCH(_lookup!$D$3:$D$4,H211)),_lookup!$E$3:$E$4),"INT"),VLOOKUP(G211,_lookup!$A$3:$B$14,2,FALSE)),""))</f>
        <v/>
      </c>
      <c r="K211">
        <f>IF(F211&lt;&gt;"weapon","",IF(G211="miscellaneous","1-4",IF(I211="","",IFERROR(VLOOKUP(I211&amp;"|"&amp;IF(LEFT(H211,2)="2H",2,1)&amp;"|"&amp;IF(G211="slashing",1,0),_lookup!$G$3:$H$18,2,FALSE),""))))</f>
        <v/>
      </c>
      <c r="L211">
        <f>IF(K211="","",IF(OR(G211="channeling",G211="infusing"),"Magical",IF(G211="blocking","Anti-Physical",IF(G211="warding","Anti-Magical","Physical"))))</f>
        <v/>
      </c>
      <c r="O211">
        <f>IF(F211&lt;&gt;"armor","","TBD")</f>
        <v/>
      </c>
      <c r="P211">
        <f>IF(O211="","",IF(OR(G211="channeling",G211="infusing"),"Magical",IF(G211="blocking","Anti-Physical",IF(G211="warding","Anti-Magical","Physical"))))</f>
        <v/>
      </c>
    </row>
    <row r="212">
      <c r="J212">
        <f>IF(G212="","",IFERROR(IF(G212="infusing",IFERROR(LOOKUP(2,1/ISNUMBER(SEARCH(_lookup!$D$3:$D$4,H212)),_lookup!$E$3:$E$4),"INT"),VLOOKUP(G212,_lookup!$A$3:$B$14,2,FALSE)),""))</f>
        <v/>
      </c>
      <c r="K212">
        <f>IF(F212&lt;&gt;"weapon","",IF(G212="miscellaneous","1-4",IF(I212="","",IFERROR(VLOOKUP(I212&amp;"|"&amp;IF(LEFT(H212,2)="2H",2,1)&amp;"|"&amp;IF(G212="slashing",1,0),_lookup!$G$3:$H$18,2,FALSE),""))))</f>
        <v/>
      </c>
      <c r="L212">
        <f>IF(K212="","",IF(OR(G212="channeling",G212="infusing"),"Magical",IF(G212="blocking","Anti-Physical",IF(G212="warding","Anti-Magical","Physical"))))</f>
        <v/>
      </c>
      <c r="O212">
        <f>IF(F212&lt;&gt;"armor","","TBD")</f>
        <v/>
      </c>
      <c r="P212">
        <f>IF(O212="","",IF(OR(G212="channeling",G212="infusing"),"Magical",IF(G212="blocking","Anti-Physical",IF(G212="warding","Anti-Magical","Physical"))))</f>
        <v/>
      </c>
    </row>
    <row r="213">
      <c r="J213">
        <f>IF(G213="","",IFERROR(IF(G213="infusing",IFERROR(LOOKUP(2,1/ISNUMBER(SEARCH(_lookup!$D$3:$D$4,H213)),_lookup!$E$3:$E$4),"INT"),VLOOKUP(G213,_lookup!$A$3:$B$14,2,FALSE)),""))</f>
        <v/>
      </c>
      <c r="K213">
        <f>IF(F213&lt;&gt;"weapon","",IF(G213="miscellaneous","1-4",IF(I213="","",IFERROR(VLOOKUP(I213&amp;"|"&amp;IF(LEFT(H213,2)="2H",2,1)&amp;"|"&amp;IF(G213="slashing",1,0),_lookup!$G$3:$H$18,2,FALSE),""))))</f>
        <v/>
      </c>
      <c r="L213">
        <f>IF(K213="","",IF(OR(G213="channeling",G213="infusing"),"Magical",IF(G213="blocking","Anti-Physical",IF(G213="warding","Anti-Magical","Physical"))))</f>
        <v/>
      </c>
      <c r="O213">
        <f>IF(F213&lt;&gt;"armor","","TBD")</f>
        <v/>
      </c>
      <c r="P213">
        <f>IF(O213="","",IF(OR(G213="channeling",G213="infusing"),"Magical",IF(G213="blocking","Anti-Physical",IF(G213="warding","Anti-Magical","Physical"))))</f>
        <v/>
      </c>
    </row>
    <row r="214">
      <c r="J214">
        <f>IF(G214="","",IFERROR(IF(G214="infusing",IFERROR(LOOKUP(2,1/ISNUMBER(SEARCH(_lookup!$D$3:$D$4,H214)),_lookup!$E$3:$E$4),"INT"),VLOOKUP(G214,_lookup!$A$3:$B$14,2,FALSE)),""))</f>
        <v/>
      </c>
      <c r="K214">
        <f>IF(F214&lt;&gt;"weapon","",IF(G214="miscellaneous","1-4",IF(I214="","",IFERROR(VLOOKUP(I214&amp;"|"&amp;IF(LEFT(H214,2)="2H",2,1)&amp;"|"&amp;IF(G214="slashing",1,0),_lookup!$G$3:$H$18,2,FALSE),""))))</f>
        <v/>
      </c>
      <c r="L214">
        <f>IF(K214="","",IF(OR(G214="channeling",G214="infusing"),"Magical",IF(G214="blocking","Anti-Physical",IF(G214="warding","Anti-Magical","Physical"))))</f>
        <v/>
      </c>
      <c r="O214">
        <f>IF(F214&lt;&gt;"armor","","TBD")</f>
        <v/>
      </c>
      <c r="P214">
        <f>IF(O214="","",IF(OR(G214="channeling",G214="infusing"),"Magical",IF(G214="blocking","Anti-Physical",IF(G214="warding","Anti-Magical","Physical"))))</f>
        <v/>
      </c>
    </row>
    <row r="215">
      <c r="J215">
        <f>IF(G215="","",IFERROR(IF(G215="infusing",IFERROR(LOOKUP(2,1/ISNUMBER(SEARCH(_lookup!$D$3:$D$4,H215)),_lookup!$E$3:$E$4),"INT"),VLOOKUP(G215,_lookup!$A$3:$B$14,2,FALSE)),""))</f>
        <v/>
      </c>
      <c r="K215">
        <f>IF(F215&lt;&gt;"weapon","",IF(G215="miscellaneous","1-4",IF(I215="","",IFERROR(VLOOKUP(I215&amp;"|"&amp;IF(LEFT(H215,2)="2H",2,1)&amp;"|"&amp;IF(G215="slashing",1,0),_lookup!$G$3:$H$18,2,FALSE),""))))</f>
        <v/>
      </c>
      <c r="L215">
        <f>IF(K215="","",IF(OR(G215="channeling",G215="infusing"),"Magical",IF(G215="blocking","Anti-Physical",IF(G215="warding","Anti-Magical","Physical"))))</f>
        <v/>
      </c>
      <c r="O215">
        <f>IF(F215&lt;&gt;"armor","","TBD")</f>
        <v/>
      </c>
      <c r="P215">
        <f>IF(O215="","",IF(OR(G215="channeling",G215="infusing"),"Magical",IF(G215="blocking","Anti-Physical",IF(G215="warding","Anti-Magical","Physical"))))</f>
        <v/>
      </c>
    </row>
    <row r="216">
      <c r="J216">
        <f>IF(G216="","",IFERROR(IF(G216="infusing",IFERROR(LOOKUP(2,1/ISNUMBER(SEARCH(_lookup!$D$3:$D$4,H216)),_lookup!$E$3:$E$4),"INT"),VLOOKUP(G216,_lookup!$A$3:$B$14,2,FALSE)),""))</f>
        <v/>
      </c>
      <c r="K216">
        <f>IF(F216&lt;&gt;"weapon","",IF(G216="miscellaneous","1-4",IF(I216="","",IFERROR(VLOOKUP(I216&amp;"|"&amp;IF(LEFT(H216,2)="2H",2,1)&amp;"|"&amp;IF(G216="slashing",1,0),_lookup!$G$3:$H$18,2,FALSE),""))))</f>
        <v/>
      </c>
      <c r="L216">
        <f>IF(K216="","",IF(OR(G216="channeling",G216="infusing"),"Magical",IF(G216="blocking","Anti-Physical",IF(G216="warding","Anti-Magical","Physical"))))</f>
        <v/>
      </c>
      <c r="O216">
        <f>IF(F216&lt;&gt;"armor","","TBD")</f>
        <v/>
      </c>
      <c r="P216">
        <f>IF(O216="","",IF(OR(G216="channeling",G216="infusing"),"Magical",IF(G216="blocking","Anti-Physical",IF(G216="warding","Anti-Magical","Physical"))))</f>
        <v/>
      </c>
    </row>
    <row r="217">
      <c r="J217">
        <f>IF(G217="","",IFERROR(IF(G217="infusing",IFERROR(LOOKUP(2,1/ISNUMBER(SEARCH(_lookup!$D$3:$D$4,H217)),_lookup!$E$3:$E$4),"INT"),VLOOKUP(G217,_lookup!$A$3:$B$14,2,FALSE)),""))</f>
        <v/>
      </c>
      <c r="K217">
        <f>IF(F217&lt;&gt;"weapon","",IF(G217="miscellaneous","1-4",IF(I217="","",IFERROR(VLOOKUP(I217&amp;"|"&amp;IF(LEFT(H217,2)="2H",2,1)&amp;"|"&amp;IF(G217="slashing",1,0),_lookup!$G$3:$H$18,2,FALSE),""))))</f>
        <v/>
      </c>
      <c r="L217">
        <f>IF(K217="","",IF(OR(G217="channeling",G217="infusing"),"Magical",IF(G217="blocking","Anti-Physical",IF(G217="warding","Anti-Magical","Physical"))))</f>
        <v/>
      </c>
      <c r="O217">
        <f>IF(F217&lt;&gt;"armor","","TBD")</f>
        <v/>
      </c>
      <c r="P217">
        <f>IF(O217="","",IF(OR(G217="channeling",G217="infusing"),"Magical",IF(G217="blocking","Anti-Physical",IF(G217="warding","Anti-Magical","Physical"))))</f>
        <v/>
      </c>
    </row>
    <row r="218">
      <c r="J218">
        <f>IF(G218="","",IFERROR(IF(G218="infusing",IFERROR(LOOKUP(2,1/ISNUMBER(SEARCH(_lookup!$D$3:$D$4,H218)),_lookup!$E$3:$E$4),"INT"),VLOOKUP(G218,_lookup!$A$3:$B$14,2,FALSE)),""))</f>
        <v/>
      </c>
      <c r="K218">
        <f>IF(F218&lt;&gt;"weapon","",IF(G218="miscellaneous","1-4",IF(I218="","",IFERROR(VLOOKUP(I218&amp;"|"&amp;IF(LEFT(H218,2)="2H",2,1)&amp;"|"&amp;IF(G218="slashing",1,0),_lookup!$G$3:$H$18,2,FALSE),""))))</f>
        <v/>
      </c>
      <c r="L218">
        <f>IF(K218="","",IF(OR(G218="channeling",G218="infusing"),"Magical",IF(G218="blocking","Anti-Physical",IF(G218="warding","Anti-Magical","Physical"))))</f>
        <v/>
      </c>
      <c r="O218">
        <f>IF(F218&lt;&gt;"armor","","TBD")</f>
        <v/>
      </c>
      <c r="P218">
        <f>IF(O218="","",IF(OR(G218="channeling",G218="infusing"),"Magical",IF(G218="blocking","Anti-Physical",IF(G218="warding","Anti-Magical","Physical"))))</f>
        <v/>
      </c>
    </row>
    <row r="219">
      <c r="J219">
        <f>IF(G219="","",IFERROR(IF(G219="infusing",IFERROR(LOOKUP(2,1/ISNUMBER(SEARCH(_lookup!$D$3:$D$4,H219)),_lookup!$E$3:$E$4),"INT"),VLOOKUP(G219,_lookup!$A$3:$B$14,2,FALSE)),""))</f>
        <v/>
      </c>
      <c r="K219">
        <f>IF(F219&lt;&gt;"weapon","",IF(G219="miscellaneous","1-4",IF(I219="","",IFERROR(VLOOKUP(I219&amp;"|"&amp;IF(LEFT(H219,2)="2H",2,1)&amp;"|"&amp;IF(G219="slashing",1,0),_lookup!$G$3:$H$18,2,FALSE),""))))</f>
        <v/>
      </c>
      <c r="L219">
        <f>IF(K219="","",IF(OR(G219="channeling",G219="infusing"),"Magical",IF(G219="blocking","Anti-Physical",IF(G219="warding","Anti-Magical","Physical"))))</f>
        <v/>
      </c>
      <c r="O219">
        <f>IF(F219&lt;&gt;"armor","","TBD")</f>
        <v/>
      </c>
      <c r="P219">
        <f>IF(O219="","",IF(OR(G219="channeling",G219="infusing"),"Magical",IF(G219="blocking","Anti-Physical",IF(G219="warding","Anti-Magical","Physical"))))</f>
        <v/>
      </c>
    </row>
    <row r="220">
      <c r="J220">
        <f>IF(G220="","",IFERROR(IF(G220="infusing",IFERROR(LOOKUP(2,1/ISNUMBER(SEARCH(_lookup!$D$3:$D$4,H220)),_lookup!$E$3:$E$4),"INT"),VLOOKUP(G220,_lookup!$A$3:$B$14,2,FALSE)),""))</f>
        <v/>
      </c>
      <c r="K220">
        <f>IF(F220&lt;&gt;"weapon","",IF(G220="miscellaneous","1-4",IF(I220="","",IFERROR(VLOOKUP(I220&amp;"|"&amp;IF(LEFT(H220,2)="2H",2,1)&amp;"|"&amp;IF(G220="slashing",1,0),_lookup!$G$3:$H$18,2,FALSE),""))))</f>
        <v/>
      </c>
      <c r="L220">
        <f>IF(K220="","",IF(OR(G220="channeling",G220="infusing"),"Magical",IF(G220="blocking","Anti-Physical",IF(G220="warding","Anti-Magical","Physical"))))</f>
        <v/>
      </c>
      <c r="O220">
        <f>IF(F220&lt;&gt;"armor","","TBD")</f>
        <v/>
      </c>
      <c r="P220">
        <f>IF(O220="","",IF(OR(G220="channeling",G220="infusing"),"Magical",IF(G220="blocking","Anti-Physical",IF(G220="warding","Anti-Magical","Physical"))))</f>
        <v/>
      </c>
    </row>
    <row r="221">
      <c r="J221">
        <f>IF(G221="","",IFERROR(IF(G221="infusing",IFERROR(LOOKUP(2,1/ISNUMBER(SEARCH(_lookup!$D$3:$D$4,H221)),_lookup!$E$3:$E$4),"INT"),VLOOKUP(G221,_lookup!$A$3:$B$14,2,FALSE)),""))</f>
        <v/>
      </c>
      <c r="K221">
        <f>IF(F221&lt;&gt;"weapon","",IF(G221="miscellaneous","1-4",IF(I221="","",IFERROR(VLOOKUP(I221&amp;"|"&amp;IF(LEFT(H221,2)="2H",2,1)&amp;"|"&amp;IF(G221="slashing",1,0),_lookup!$G$3:$H$18,2,FALSE),""))))</f>
        <v/>
      </c>
      <c r="L221">
        <f>IF(K221="","",IF(OR(G221="channeling",G221="infusing"),"Magical",IF(G221="blocking","Anti-Physical",IF(G221="warding","Anti-Magical","Physical"))))</f>
        <v/>
      </c>
      <c r="O221">
        <f>IF(F221&lt;&gt;"armor","","TBD")</f>
        <v/>
      </c>
      <c r="P221">
        <f>IF(O221="","",IF(OR(G221="channeling",G221="infusing"),"Magical",IF(G221="blocking","Anti-Physical",IF(G221="warding","Anti-Magical","Physical"))))</f>
        <v/>
      </c>
    </row>
    <row r="222">
      <c r="J222">
        <f>IF(G222="","",IFERROR(IF(G222="infusing",IFERROR(LOOKUP(2,1/ISNUMBER(SEARCH(_lookup!$D$3:$D$4,H222)),_lookup!$E$3:$E$4),"INT"),VLOOKUP(G222,_lookup!$A$3:$B$14,2,FALSE)),""))</f>
        <v/>
      </c>
      <c r="K222">
        <f>IF(F222&lt;&gt;"weapon","",IF(G222="miscellaneous","1-4",IF(I222="","",IFERROR(VLOOKUP(I222&amp;"|"&amp;IF(LEFT(H222,2)="2H",2,1)&amp;"|"&amp;IF(G222="slashing",1,0),_lookup!$G$3:$H$18,2,FALSE),""))))</f>
        <v/>
      </c>
      <c r="L222">
        <f>IF(K222="","",IF(OR(G222="channeling",G222="infusing"),"Magical",IF(G222="blocking","Anti-Physical",IF(G222="warding","Anti-Magical","Physical"))))</f>
        <v/>
      </c>
      <c r="O222">
        <f>IF(F222&lt;&gt;"armor","","TBD")</f>
        <v/>
      </c>
      <c r="P222">
        <f>IF(O222="","",IF(OR(G222="channeling",G222="infusing"),"Magical",IF(G222="blocking","Anti-Physical",IF(G222="warding","Anti-Magical","Physical"))))</f>
        <v/>
      </c>
    </row>
    <row r="223">
      <c r="J223">
        <f>IF(G223="","",IFERROR(IF(G223="infusing",IFERROR(LOOKUP(2,1/ISNUMBER(SEARCH(_lookup!$D$3:$D$4,H223)),_lookup!$E$3:$E$4),"INT"),VLOOKUP(G223,_lookup!$A$3:$B$14,2,FALSE)),""))</f>
        <v/>
      </c>
      <c r="K223">
        <f>IF(F223&lt;&gt;"weapon","",IF(G223="miscellaneous","1-4",IF(I223="","",IFERROR(VLOOKUP(I223&amp;"|"&amp;IF(LEFT(H223,2)="2H",2,1)&amp;"|"&amp;IF(G223="slashing",1,0),_lookup!$G$3:$H$18,2,FALSE),""))))</f>
        <v/>
      </c>
      <c r="L223">
        <f>IF(K223="","",IF(OR(G223="channeling",G223="infusing"),"Magical",IF(G223="blocking","Anti-Physical",IF(G223="warding","Anti-Magical","Physical"))))</f>
        <v/>
      </c>
      <c r="O223">
        <f>IF(F223&lt;&gt;"armor","","TBD")</f>
        <v/>
      </c>
      <c r="P223">
        <f>IF(O223="","",IF(OR(G223="channeling",G223="infusing"),"Magical",IF(G223="blocking","Anti-Physical",IF(G223="warding","Anti-Magical","Physical"))))</f>
        <v/>
      </c>
    </row>
    <row r="224">
      <c r="J224">
        <f>IF(G224="","",IFERROR(IF(G224="infusing",IFERROR(LOOKUP(2,1/ISNUMBER(SEARCH(_lookup!$D$3:$D$4,H224)),_lookup!$E$3:$E$4),"INT"),VLOOKUP(G224,_lookup!$A$3:$B$14,2,FALSE)),""))</f>
        <v/>
      </c>
      <c r="K224">
        <f>IF(F224&lt;&gt;"weapon","",IF(G224="miscellaneous","1-4",IF(I224="","",IFERROR(VLOOKUP(I224&amp;"|"&amp;IF(LEFT(H224,2)="2H",2,1)&amp;"|"&amp;IF(G224="slashing",1,0),_lookup!$G$3:$H$18,2,FALSE),""))))</f>
        <v/>
      </c>
      <c r="L224">
        <f>IF(K224="","",IF(OR(G224="channeling",G224="infusing"),"Magical",IF(G224="blocking","Anti-Physical",IF(G224="warding","Anti-Magical","Physical"))))</f>
        <v/>
      </c>
      <c r="O224">
        <f>IF(F224&lt;&gt;"armor","","TBD")</f>
        <v/>
      </c>
      <c r="P224">
        <f>IF(O224="","",IF(OR(G224="channeling",G224="infusing"),"Magical",IF(G224="blocking","Anti-Physical",IF(G224="warding","Anti-Magical","Physical"))))</f>
        <v/>
      </c>
    </row>
    <row r="225">
      <c r="J225">
        <f>IF(G225="","",IFERROR(IF(G225="infusing",IFERROR(LOOKUP(2,1/ISNUMBER(SEARCH(_lookup!$D$3:$D$4,H225)),_lookup!$E$3:$E$4),"INT"),VLOOKUP(G225,_lookup!$A$3:$B$14,2,FALSE)),""))</f>
        <v/>
      </c>
      <c r="K225">
        <f>IF(F225&lt;&gt;"weapon","",IF(G225="miscellaneous","1-4",IF(I225="","",IFERROR(VLOOKUP(I225&amp;"|"&amp;IF(LEFT(H225,2)="2H",2,1)&amp;"|"&amp;IF(G225="slashing",1,0),_lookup!$G$3:$H$18,2,FALSE),""))))</f>
        <v/>
      </c>
      <c r="L225">
        <f>IF(K225="","",IF(OR(G225="channeling",G225="infusing"),"Magical",IF(G225="blocking","Anti-Physical",IF(G225="warding","Anti-Magical","Physical"))))</f>
        <v/>
      </c>
      <c r="O225">
        <f>IF(F225&lt;&gt;"armor","","TBD")</f>
        <v/>
      </c>
      <c r="P225">
        <f>IF(O225="","",IF(OR(G225="channeling",G225="infusing"),"Magical",IF(G225="blocking","Anti-Physical",IF(G225="warding","Anti-Magical","Physical"))))</f>
        <v/>
      </c>
    </row>
    <row r="226">
      <c r="J226">
        <f>IF(G226="","",IFERROR(IF(G226="infusing",IFERROR(LOOKUP(2,1/ISNUMBER(SEARCH(_lookup!$D$3:$D$4,H226)),_lookup!$E$3:$E$4),"INT"),VLOOKUP(G226,_lookup!$A$3:$B$14,2,FALSE)),""))</f>
        <v/>
      </c>
      <c r="K226">
        <f>IF(F226&lt;&gt;"weapon","",IF(G226="miscellaneous","1-4",IF(I226="","",IFERROR(VLOOKUP(I226&amp;"|"&amp;IF(LEFT(H226,2)="2H",2,1)&amp;"|"&amp;IF(G226="slashing",1,0),_lookup!$G$3:$H$18,2,FALSE),""))))</f>
        <v/>
      </c>
      <c r="L226">
        <f>IF(K226="","",IF(OR(G226="channeling",G226="infusing"),"Magical",IF(G226="blocking","Anti-Physical",IF(G226="warding","Anti-Magical","Physical"))))</f>
        <v/>
      </c>
      <c r="O226">
        <f>IF(F226&lt;&gt;"armor","","TBD")</f>
        <v/>
      </c>
      <c r="P226">
        <f>IF(O226="","",IF(OR(G226="channeling",G226="infusing"),"Magical",IF(G226="blocking","Anti-Physical",IF(G226="warding","Anti-Magical","Physical"))))</f>
        <v/>
      </c>
    </row>
    <row r="227">
      <c r="J227">
        <f>IF(G227="","",IFERROR(IF(G227="infusing",IFERROR(LOOKUP(2,1/ISNUMBER(SEARCH(_lookup!$D$3:$D$4,H227)),_lookup!$E$3:$E$4),"INT"),VLOOKUP(G227,_lookup!$A$3:$B$14,2,FALSE)),""))</f>
        <v/>
      </c>
      <c r="K227">
        <f>IF(F227&lt;&gt;"weapon","",IF(G227="miscellaneous","1-4",IF(I227="","",IFERROR(VLOOKUP(I227&amp;"|"&amp;IF(LEFT(H227,2)="2H",2,1)&amp;"|"&amp;IF(G227="slashing",1,0),_lookup!$G$3:$H$18,2,FALSE),""))))</f>
        <v/>
      </c>
      <c r="L227">
        <f>IF(K227="","",IF(OR(G227="channeling",G227="infusing"),"Magical",IF(G227="blocking","Anti-Physical",IF(G227="warding","Anti-Magical","Physical"))))</f>
        <v/>
      </c>
      <c r="O227">
        <f>IF(F227&lt;&gt;"armor","","TBD")</f>
        <v/>
      </c>
      <c r="P227">
        <f>IF(O227="","",IF(OR(G227="channeling",G227="infusing"),"Magical",IF(G227="blocking","Anti-Physical",IF(G227="warding","Anti-Magical","Physical"))))</f>
        <v/>
      </c>
    </row>
    <row r="228">
      <c r="J228">
        <f>IF(G228="","",IFERROR(IF(G228="infusing",IFERROR(LOOKUP(2,1/ISNUMBER(SEARCH(_lookup!$D$3:$D$4,H228)),_lookup!$E$3:$E$4),"INT"),VLOOKUP(G228,_lookup!$A$3:$B$14,2,FALSE)),""))</f>
        <v/>
      </c>
      <c r="K228">
        <f>IF(F228&lt;&gt;"weapon","",IF(G228="miscellaneous","1-4",IF(I228="","",IFERROR(VLOOKUP(I228&amp;"|"&amp;IF(LEFT(H228,2)="2H",2,1)&amp;"|"&amp;IF(G228="slashing",1,0),_lookup!$G$3:$H$18,2,FALSE),""))))</f>
        <v/>
      </c>
      <c r="L228">
        <f>IF(K228="","",IF(OR(G228="channeling",G228="infusing"),"Magical",IF(G228="blocking","Anti-Physical",IF(G228="warding","Anti-Magical","Physical"))))</f>
        <v/>
      </c>
      <c r="O228">
        <f>IF(F228&lt;&gt;"armor","","TBD")</f>
        <v/>
      </c>
      <c r="P228">
        <f>IF(O228="","",IF(OR(G228="channeling",G228="infusing"),"Magical",IF(G228="blocking","Anti-Physical",IF(G228="warding","Anti-Magical","Physical"))))</f>
        <v/>
      </c>
    </row>
    <row r="229">
      <c r="J229">
        <f>IF(G229="","",IFERROR(IF(G229="infusing",IFERROR(LOOKUP(2,1/ISNUMBER(SEARCH(_lookup!$D$3:$D$4,H229)),_lookup!$E$3:$E$4),"INT"),VLOOKUP(G229,_lookup!$A$3:$B$14,2,FALSE)),""))</f>
        <v/>
      </c>
      <c r="K229">
        <f>IF(F229&lt;&gt;"weapon","",IF(G229="miscellaneous","1-4",IF(I229="","",IFERROR(VLOOKUP(I229&amp;"|"&amp;IF(LEFT(H229,2)="2H",2,1)&amp;"|"&amp;IF(G229="slashing",1,0),_lookup!$G$3:$H$18,2,FALSE),""))))</f>
        <v/>
      </c>
      <c r="L229">
        <f>IF(K229="","",IF(OR(G229="channeling",G229="infusing"),"Magical",IF(G229="blocking","Anti-Physical",IF(G229="warding","Anti-Magical","Physical"))))</f>
        <v/>
      </c>
      <c r="O229">
        <f>IF(F229&lt;&gt;"armor","","TBD")</f>
        <v/>
      </c>
      <c r="P229">
        <f>IF(O229="","",IF(OR(G229="channeling",G229="infusing"),"Magical",IF(G229="blocking","Anti-Physical",IF(G229="warding","Anti-Magical","Physical"))))</f>
        <v/>
      </c>
    </row>
    <row r="230">
      <c r="J230">
        <f>IF(G230="","",IFERROR(IF(G230="infusing",IFERROR(LOOKUP(2,1/ISNUMBER(SEARCH(_lookup!$D$3:$D$4,H230)),_lookup!$E$3:$E$4),"INT"),VLOOKUP(G230,_lookup!$A$3:$B$14,2,FALSE)),""))</f>
        <v/>
      </c>
      <c r="K230">
        <f>IF(F230&lt;&gt;"weapon","",IF(G230="miscellaneous","1-4",IF(I230="","",IFERROR(VLOOKUP(I230&amp;"|"&amp;IF(LEFT(H230,2)="2H",2,1)&amp;"|"&amp;IF(G230="slashing",1,0),_lookup!$G$3:$H$18,2,FALSE),""))))</f>
        <v/>
      </c>
      <c r="L230">
        <f>IF(K230="","",IF(OR(G230="channeling",G230="infusing"),"Magical",IF(G230="blocking","Anti-Physical",IF(G230="warding","Anti-Magical","Physical"))))</f>
        <v/>
      </c>
      <c r="O230">
        <f>IF(F230&lt;&gt;"armor","","TBD")</f>
        <v/>
      </c>
      <c r="P230">
        <f>IF(O230="","",IF(OR(G230="channeling",G230="infusing"),"Magical",IF(G230="blocking","Anti-Physical",IF(G230="warding","Anti-Magical","Physical"))))</f>
        <v/>
      </c>
    </row>
    <row r="231">
      <c r="J231">
        <f>IF(G231="","",IFERROR(IF(G231="infusing",IFERROR(LOOKUP(2,1/ISNUMBER(SEARCH(_lookup!$D$3:$D$4,H231)),_lookup!$E$3:$E$4),"INT"),VLOOKUP(G231,_lookup!$A$3:$B$14,2,FALSE)),""))</f>
        <v/>
      </c>
      <c r="K231">
        <f>IF(F231&lt;&gt;"weapon","",IF(G231="miscellaneous","1-4",IF(I231="","",IFERROR(VLOOKUP(I231&amp;"|"&amp;IF(LEFT(H231,2)="2H",2,1)&amp;"|"&amp;IF(G231="slashing",1,0),_lookup!$G$3:$H$18,2,FALSE),""))))</f>
        <v/>
      </c>
      <c r="L231">
        <f>IF(K231="","",IF(OR(G231="channeling",G231="infusing"),"Magical",IF(G231="blocking","Anti-Physical",IF(G231="warding","Anti-Magical","Physical"))))</f>
        <v/>
      </c>
      <c r="O231">
        <f>IF(F231&lt;&gt;"armor","","TBD")</f>
        <v/>
      </c>
      <c r="P231">
        <f>IF(O231="","",IF(OR(G231="channeling",G231="infusing"),"Magical",IF(G231="blocking","Anti-Physical",IF(G231="warding","Anti-Magical","Physical"))))</f>
        <v/>
      </c>
    </row>
    <row r="232">
      <c r="J232">
        <f>IF(G232="","",IFERROR(IF(G232="infusing",IFERROR(LOOKUP(2,1/ISNUMBER(SEARCH(_lookup!$D$3:$D$4,H232)),_lookup!$E$3:$E$4),"INT"),VLOOKUP(G232,_lookup!$A$3:$B$14,2,FALSE)),""))</f>
        <v/>
      </c>
      <c r="K232">
        <f>IF(F232&lt;&gt;"weapon","",IF(G232="miscellaneous","1-4",IF(I232="","",IFERROR(VLOOKUP(I232&amp;"|"&amp;IF(LEFT(H232,2)="2H",2,1)&amp;"|"&amp;IF(G232="slashing",1,0),_lookup!$G$3:$H$18,2,FALSE),""))))</f>
        <v/>
      </c>
      <c r="L232">
        <f>IF(K232="","",IF(OR(G232="channeling",G232="infusing"),"Magical",IF(G232="blocking","Anti-Physical",IF(G232="warding","Anti-Magical","Physical"))))</f>
        <v/>
      </c>
      <c r="O232">
        <f>IF(F232&lt;&gt;"armor","","TBD")</f>
        <v/>
      </c>
      <c r="P232">
        <f>IF(O232="","",IF(OR(G232="channeling",G232="infusing"),"Magical",IF(G232="blocking","Anti-Physical",IF(G232="warding","Anti-Magical","Physical"))))</f>
        <v/>
      </c>
    </row>
    <row r="233">
      <c r="J233">
        <f>IF(G233="","",IFERROR(IF(G233="infusing",IFERROR(LOOKUP(2,1/ISNUMBER(SEARCH(_lookup!$D$3:$D$4,H233)),_lookup!$E$3:$E$4),"INT"),VLOOKUP(G233,_lookup!$A$3:$B$14,2,FALSE)),""))</f>
        <v/>
      </c>
      <c r="K233">
        <f>IF(F233&lt;&gt;"weapon","",IF(G233="miscellaneous","1-4",IF(I233="","",IFERROR(VLOOKUP(I233&amp;"|"&amp;IF(LEFT(H233,2)="2H",2,1)&amp;"|"&amp;IF(G233="slashing",1,0),_lookup!$G$3:$H$18,2,FALSE),""))))</f>
        <v/>
      </c>
      <c r="L233">
        <f>IF(K233="","",IF(OR(G233="channeling",G233="infusing"),"Magical",IF(G233="blocking","Anti-Physical",IF(G233="warding","Anti-Magical","Physical"))))</f>
        <v/>
      </c>
      <c r="O233">
        <f>IF(F233&lt;&gt;"armor","","TBD")</f>
        <v/>
      </c>
      <c r="P233">
        <f>IF(O233="","",IF(OR(G233="channeling",G233="infusing"),"Magical",IF(G233="blocking","Anti-Physical",IF(G233="warding","Anti-Magical","Physical"))))</f>
        <v/>
      </c>
    </row>
    <row r="234">
      <c r="J234">
        <f>IF(G234="","",IFERROR(IF(G234="infusing",IFERROR(LOOKUP(2,1/ISNUMBER(SEARCH(_lookup!$D$3:$D$4,H234)),_lookup!$E$3:$E$4),"INT"),VLOOKUP(G234,_lookup!$A$3:$B$14,2,FALSE)),""))</f>
        <v/>
      </c>
      <c r="K234">
        <f>IF(F234&lt;&gt;"weapon","",IF(G234="miscellaneous","1-4",IF(I234="","",IFERROR(VLOOKUP(I234&amp;"|"&amp;IF(LEFT(H234,2)="2H",2,1)&amp;"|"&amp;IF(G234="slashing",1,0),_lookup!$G$3:$H$18,2,FALSE),""))))</f>
        <v/>
      </c>
      <c r="L234">
        <f>IF(K234="","",IF(OR(G234="channeling",G234="infusing"),"Magical",IF(G234="blocking","Anti-Physical",IF(G234="warding","Anti-Magical","Physical"))))</f>
        <v/>
      </c>
      <c r="O234">
        <f>IF(F234&lt;&gt;"armor","","TBD")</f>
        <v/>
      </c>
      <c r="P234">
        <f>IF(O234="","",IF(OR(G234="channeling",G234="infusing"),"Magical",IF(G234="blocking","Anti-Physical",IF(G234="warding","Anti-Magical","Physical"))))</f>
        <v/>
      </c>
    </row>
    <row r="235">
      <c r="J235">
        <f>IF(G235="","",IFERROR(IF(G235="infusing",IFERROR(LOOKUP(2,1/ISNUMBER(SEARCH(_lookup!$D$3:$D$4,H235)),_lookup!$E$3:$E$4),"INT"),VLOOKUP(G235,_lookup!$A$3:$B$14,2,FALSE)),""))</f>
        <v/>
      </c>
      <c r="K235">
        <f>IF(F235&lt;&gt;"weapon","",IF(G235="miscellaneous","1-4",IF(I235="","",IFERROR(VLOOKUP(I235&amp;"|"&amp;IF(LEFT(H235,2)="2H",2,1)&amp;"|"&amp;IF(G235="slashing",1,0),_lookup!$G$3:$H$18,2,FALSE),""))))</f>
        <v/>
      </c>
      <c r="L235">
        <f>IF(K235="","",IF(OR(G235="channeling",G235="infusing"),"Magical",IF(G235="blocking","Anti-Physical",IF(G235="warding","Anti-Magical","Physical"))))</f>
        <v/>
      </c>
      <c r="O235">
        <f>IF(F235&lt;&gt;"armor","","TBD")</f>
        <v/>
      </c>
      <c r="P235">
        <f>IF(O235="","",IF(OR(G235="channeling",G235="infusing"),"Magical",IF(G235="blocking","Anti-Physical",IF(G235="warding","Anti-Magical","Physical"))))</f>
        <v/>
      </c>
    </row>
    <row r="236">
      <c r="J236">
        <f>IF(G236="","",IFERROR(IF(G236="infusing",IFERROR(LOOKUP(2,1/ISNUMBER(SEARCH(_lookup!$D$3:$D$4,H236)),_lookup!$E$3:$E$4),"INT"),VLOOKUP(G236,_lookup!$A$3:$B$14,2,FALSE)),""))</f>
        <v/>
      </c>
      <c r="K236">
        <f>IF(F236&lt;&gt;"weapon","",IF(G236="miscellaneous","1-4",IF(I236="","",IFERROR(VLOOKUP(I236&amp;"|"&amp;IF(LEFT(H236,2)="2H",2,1)&amp;"|"&amp;IF(G236="slashing",1,0),_lookup!$G$3:$H$18,2,FALSE),""))))</f>
        <v/>
      </c>
      <c r="L236">
        <f>IF(K236="","",IF(OR(G236="channeling",G236="infusing"),"Magical",IF(G236="blocking","Anti-Physical",IF(G236="warding","Anti-Magical","Physical"))))</f>
        <v/>
      </c>
      <c r="O236">
        <f>IF(F236&lt;&gt;"armor","","TBD")</f>
        <v/>
      </c>
      <c r="P236">
        <f>IF(O236="","",IF(OR(G236="channeling",G236="infusing"),"Magical",IF(G236="blocking","Anti-Physical",IF(G236="warding","Anti-Magical","Physical"))))</f>
        <v/>
      </c>
    </row>
    <row r="237">
      <c r="J237">
        <f>IF(G237="","",IFERROR(IF(G237="infusing",IFERROR(LOOKUP(2,1/ISNUMBER(SEARCH(_lookup!$D$3:$D$4,H237)),_lookup!$E$3:$E$4),"INT"),VLOOKUP(G237,_lookup!$A$3:$B$14,2,FALSE)),""))</f>
        <v/>
      </c>
      <c r="K237">
        <f>IF(F237&lt;&gt;"weapon","",IF(G237="miscellaneous","1-4",IF(I237="","",IFERROR(VLOOKUP(I237&amp;"|"&amp;IF(LEFT(H237,2)="2H",2,1)&amp;"|"&amp;IF(G237="slashing",1,0),_lookup!$G$3:$H$18,2,FALSE),""))))</f>
        <v/>
      </c>
      <c r="L237">
        <f>IF(K237="","",IF(OR(G237="channeling",G237="infusing"),"Magical",IF(G237="blocking","Anti-Physical",IF(G237="warding","Anti-Magical","Physical"))))</f>
        <v/>
      </c>
      <c r="O237">
        <f>IF(F237&lt;&gt;"armor","","TBD")</f>
        <v/>
      </c>
      <c r="P237">
        <f>IF(O237="","",IF(OR(G237="channeling",G237="infusing"),"Magical",IF(G237="blocking","Anti-Physical",IF(G237="warding","Anti-Magical","Physical"))))</f>
        <v/>
      </c>
    </row>
    <row r="238">
      <c r="J238">
        <f>IF(G238="","",IFERROR(IF(G238="infusing",IFERROR(LOOKUP(2,1/ISNUMBER(SEARCH(_lookup!$D$3:$D$4,H238)),_lookup!$E$3:$E$4),"INT"),VLOOKUP(G238,_lookup!$A$3:$B$14,2,FALSE)),""))</f>
        <v/>
      </c>
      <c r="K238">
        <f>IF(F238&lt;&gt;"weapon","",IF(G238="miscellaneous","1-4",IF(I238="","",IFERROR(VLOOKUP(I238&amp;"|"&amp;IF(LEFT(H238,2)="2H",2,1)&amp;"|"&amp;IF(G238="slashing",1,0),_lookup!$G$3:$H$18,2,FALSE),""))))</f>
        <v/>
      </c>
      <c r="L238">
        <f>IF(K238="","",IF(OR(G238="channeling",G238="infusing"),"Magical",IF(G238="blocking","Anti-Physical",IF(G238="warding","Anti-Magical","Physical"))))</f>
        <v/>
      </c>
      <c r="O238">
        <f>IF(F238&lt;&gt;"armor","","TBD")</f>
        <v/>
      </c>
      <c r="P238">
        <f>IF(O238="","",IF(OR(G238="channeling",G238="infusing"),"Magical",IF(G238="blocking","Anti-Physical",IF(G238="warding","Anti-Magical","Physical"))))</f>
        <v/>
      </c>
    </row>
    <row r="239">
      <c r="J239">
        <f>IF(G239="","",IFERROR(IF(G239="infusing",IFERROR(LOOKUP(2,1/ISNUMBER(SEARCH(_lookup!$D$3:$D$4,H239)),_lookup!$E$3:$E$4),"INT"),VLOOKUP(G239,_lookup!$A$3:$B$14,2,FALSE)),""))</f>
        <v/>
      </c>
      <c r="K239">
        <f>IF(F239&lt;&gt;"weapon","",IF(G239="miscellaneous","1-4",IF(I239="","",IFERROR(VLOOKUP(I239&amp;"|"&amp;IF(LEFT(H239,2)="2H",2,1)&amp;"|"&amp;IF(G239="slashing",1,0),_lookup!$G$3:$H$18,2,FALSE),""))))</f>
        <v/>
      </c>
      <c r="L239">
        <f>IF(K239="","",IF(OR(G239="channeling",G239="infusing"),"Magical",IF(G239="blocking","Anti-Physical",IF(G239="warding","Anti-Magical","Physical"))))</f>
        <v/>
      </c>
      <c r="O239">
        <f>IF(F239&lt;&gt;"armor","","TBD")</f>
        <v/>
      </c>
      <c r="P239">
        <f>IF(O239="","",IF(OR(G239="channeling",G239="infusing"),"Magical",IF(G239="blocking","Anti-Physical",IF(G239="warding","Anti-Magical","Physical"))))</f>
        <v/>
      </c>
    </row>
    <row r="240">
      <c r="J240">
        <f>IF(G240="","",IFERROR(IF(G240="infusing",IFERROR(LOOKUP(2,1/ISNUMBER(SEARCH(_lookup!$D$3:$D$4,H240)),_lookup!$E$3:$E$4),"INT"),VLOOKUP(G240,_lookup!$A$3:$B$14,2,FALSE)),""))</f>
        <v/>
      </c>
      <c r="K240">
        <f>IF(F240&lt;&gt;"weapon","",IF(G240="miscellaneous","1-4",IF(I240="","",IFERROR(VLOOKUP(I240&amp;"|"&amp;IF(LEFT(H240,2)="2H",2,1)&amp;"|"&amp;IF(G240="slashing",1,0),_lookup!$G$3:$H$18,2,FALSE),""))))</f>
        <v/>
      </c>
      <c r="L240">
        <f>IF(K240="","",IF(OR(G240="channeling",G240="infusing"),"Magical",IF(G240="blocking","Anti-Physical",IF(G240="warding","Anti-Magical","Physical"))))</f>
        <v/>
      </c>
      <c r="O240">
        <f>IF(F240&lt;&gt;"armor","","TBD")</f>
        <v/>
      </c>
      <c r="P240">
        <f>IF(O240="","",IF(OR(G240="channeling",G240="infusing"),"Magical",IF(G240="blocking","Anti-Physical",IF(G240="warding","Anti-Magical","Physical"))))</f>
        <v/>
      </c>
    </row>
    <row r="241">
      <c r="J241">
        <f>IF(G241="","",IFERROR(IF(G241="infusing",IFERROR(LOOKUP(2,1/ISNUMBER(SEARCH(_lookup!$D$3:$D$4,H241)),_lookup!$E$3:$E$4),"INT"),VLOOKUP(G241,_lookup!$A$3:$B$14,2,FALSE)),""))</f>
        <v/>
      </c>
      <c r="K241">
        <f>IF(F241&lt;&gt;"weapon","",IF(G241="miscellaneous","1-4",IF(I241="","",IFERROR(VLOOKUP(I241&amp;"|"&amp;IF(LEFT(H241,2)="2H",2,1)&amp;"|"&amp;IF(G241="slashing",1,0),_lookup!$G$3:$H$18,2,FALSE),""))))</f>
        <v/>
      </c>
      <c r="L241">
        <f>IF(K241="","",IF(OR(G241="channeling",G241="infusing"),"Magical",IF(G241="blocking","Anti-Physical",IF(G241="warding","Anti-Magical","Physical"))))</f>
        <v/>
      </c>
      <c r="O241">
        <f>IF(F241&lt;&gt;"armor","","TBD")</f>
        <v/>
      </c>
      <c r="P241">
        <f>IF(O241="","",IF(OR(G241="channeling",G241="infusing"),"Magical",IF(G241="blocking","Anti-Physical",IF(G241="warding","Anti-Magical","Physical"))))</f>
        <v/>
      </c>
    </row>
    <row r="242">
      <c r="J242">
        <f>IF(G242="","",IFERROR(IF(G242="infusing",IFERROR(LOOKUP(2,1/ISNUMBER(SEARCH(_lookup!$D$3:$D$4,H242)),_lookup!$E$3:$E$4),"INT"),VLOOKUP(G242,_lookup!$A$3:$B$14,2,FALSE)),""))</f>
        <v/>
      </c>
      <c r="K242">
        <f>IF(F242&lt;&gt;"weapon","",IF(G242="miscellaneous","1-4",IF(I242="","",IFERROR(VLOOKUP(I242&amp;"|"&amp;IF(LEFT(H242,2)="2H",2,1)&amp;"|"&amp;IF(G242="slashing",1,0),_lookup!$G$3:$H$18,2,FALSE),""))))</f>
        <v/>
      </c>
      <c r="L242">
        <f>IF(K242="","",IF(OR(G242="channeling",G242="infusing"),"Magical",IF(G242="blocking","Anti-Physical",IF(G242="warding","Anti-Magical","Physical"))))</f>
        <v/>
      </c>
      <c r="O242">
        <f>IF(F242&lt;&gt;"armor","","TBD")</f>
        <v/>
      </c>
      <c r="P242">
        <f>IF(O242="","",IF(OR(G242="channeling",G242="infusing"),"Magical",IF(G242="blocking","Anti-Physical",IF(G242="warding","Anti-Magical","Physical"))))</f>
        <v/>
      </c>
    </row>
    <row r="243">
      <c r="J243">
        <f>IF(G243="","",IFERROR(IF(G243="infusing",IFERROR(LOOKUP(2,1/ISNUMBER(SEARCH(_lookup!$D$3:$D$4,H243)),_lookup!$E$3:$E$4),"INT"),VLOOKUP(G243,_lookup!$A$3:$B$14,2,FALSE)),""))</f>
        <v/>
      </c>
      <c r="K243">
        <f>IF(F243&lt;&gt;"weapon","",IF(G243="miscellaneous","1-4",IF(I243="","",IFERROR(VLOOKUP(I243&amp;"|"&amp;IF(LEFT(H243,2)="2H",2,1)&amp;"|"&amp;IF(G243="slashing",1,0),_lookup!$G$3:$H$18,2,FALSE),""))))</f>
        <v/>
      </c>
      <c r="L243">
        <f>IF(K243="","",IF(OR(G243="channeling",G243="infusing"),"Magical",IF(G243="blocking","Anti-Physical",IF(G243="warding","Anti-Magical","Physical"))))</f>
        <v/>
      </c>
      <c r="O243">
        <f>IF(F243&lt;&gt;"armor","","TBD")</f>
        <v/>
      </c>
      <c r="P243">
        <f>IF(O243="","",IF(OR(G243="channeling",G243="infusing"),"Magical",IF(G243="blocking","Anti-Physical",IF(G243="warding","Anti-Magical","Physical"))))</f>
        <v/>
      </c>
    </row>
    <row r="244">
      <c r="J244">
        <f>IF(G244="","",IFERROR(IF(G244="infusing",IFERROR(LOOKUP(2,1/ISNUMBER(SEARCH(_lookup!$D$3:$D$4,H244)),_lookup!$E$3:$E$4),"INT"),VLOOKUP(G244,_lookup!$A$3:$B$14,2,FALSE)),""))</f>
        <v/>
      </c>
      <c r="K244">
        <f>IF(F244&lt;&gt;"weapon","",IF(G244="miscellaneous","1-4",IF(I244="","",IFERROR(VLOOKUP(I244&amp;"|"&amp;IF(LEFT(H244,2)="2H",2,1)&amp;"|"&amp;IF(G244="slashing",1,0),_lookup!$G$3:$H$18,2,FALSE),""))))</f>
        <v/>
      </c>
      <c r="L244">
        <f>IF(K244="","",IF(OR(G244="channeling",G244="infusing"),"Magical",IF(G244="blocking","Anti-Physical",IF(G244="warding","Anti-Magical","Physical"))))</f>
        <v/>
      </c>
      <c r="O244">
        <f>IF(F244&lt;&gt;"armor","","TBD")</f>
        <v/>
      </c>
      <c r="P244">
        <f>IF(O244="","",IF(OR(G244="channeling",G244="infusing"),"Magical",IF(G244="blocking","Anti-Physical",IF(G244="warding","Anti-Magical","Physical"))))</f>
        <v/>
      </c>
    </row>
    <row r="245">
      <c r="J245">
        <f>IF(G245="","",IFERROR(IF(G245="infusing",IFERROR(LOOKUP(2,1/ISNUMBER(SEARCH(_lookup!$D$3:$D$4,H245)),_lookup!$E$3:$E$4),"INT"),VLOOKUP(G245,_lookup!$A$3:$B$14,2,FALSE)),""))</f>
        <v/>
      </c>
      <c r="K245">
        <f>IF(F245&lt;&gt;"weapon","",IF(G245="miscellaneous","1-4",IF(I245="","",IFERROR(VLOOKUP(I245&amp;"|"&amp;IF(LEFT(H245,2)="2H",2,1)&amp;"|"&amp;IF(G245="slashing",1,0),_lookup!$G$3:$H$18,2,FALSE),""))))</f>
        <v/>
      </c>
      <c r="L245">
        <f>IF(K245="","",IF(OR(G245="channeling",G245="infusing"),"Magical",IF(G245="blocking","Anti-Physical",IF(G245="warding","Anti-Magical","Physical"))))</f>
        <v/>
      </c>
      <c r="O245">
        <f>IF(F245&lt;&gt;"armor","","TBD")</f>
        <v/>
      </c>
      <c r="P245">
        <f>IF(O245="","",IF(OR(G245="channeling",G245="infusing"),"Magical",IF(G245="blocking","Anti-Physical",IF(G245="warding","Anti-Magical","Physical"))))</f>
        <v/>
      </c>
    </row>
    <row r="246">
      <c r="J246">
        <f>IF(G246="","",IFERROR(IF(G246="infusing",IFERROR(LOOKUP(2,1/ISNUMBER(SEARCH(_lookup!$D$3:$D$4,H246)),_lookup!$E$3:$E$4),"INT"),VLOOKUP(G246,_lookup!$A$3:$B$14,2,FALSE)),""))</f>
        <v/>
      </c>
      <c r="K246">
        <f>IF(F246&lt;&gt;"weapon","",IF(G246="miscellaneous","1-4",IF(I246="","",IFERROR(VLOOKUP(I246&amp;"|"&amp;IF(LEFT(H246,2)="2H",2,1)&amp;"|"&amp;IF(G246="slashing",1,0),_lookup!$G$3:$H$18,2,FALSE),""))))</f>
        <v/>
      </c>
      <c r="L246">
        <f>IF(K246="","",IF(OR(G246="channeling",G246="infusing"),"Magical",IF(G246="blocking","Anti-Physical",IF(G246="warding","Anti-Magical","Physical"))))</f>
        <v/>
      </c>
      <c r="O246">
        <f>IF(F246&lt;&gt;"armor","","TBD")</f>
        <v/>
      </c>
      <c r="P246">
        <f>IF(O246="","",IF(OR(G246="channeling",G246="infusing"),"Magical",IF(G246="blocking","Anti-Physical",IF(G246="warding","Anti-Magical","Physical"))))</f>
        <v/>
      </c>
    </row>
    <row r="247">
      <c r="J247">
        <f>IF(G247="","",IFERROR(IF(G247="infusing",IFERROR(LOOKUP(2,1/ISNUMBER(SEARCH(_lookup!$D$3:$D$4,H247)),_lookup!$E$3:$E$4),"INT"),VLOOKUP(G247,_lookup!$A$3:$B$14,2,FALSE)),""))</f>
        <v/>
      </c>
      <c r="K247">
        <f>IF(F247&lt;&gt;"weapon","",IF(G247="miscellaneous","1-4",IF(I247="","",IFERROR(VLOOKUP(I247&amp;"|"&amp;IF(LEFT(H247,2)="2H",2,1)&amp;"|"&amp;IF(G247="slashing",1,0),_lookup!$G$3:$H$18,2,FALSE),""))))</f>
        <v/>
      </c>
      <c r="L247">
        <f>IF(K247="","",IF(OR(G247="channeling",G247="infusing"),"Magical",IF(G247="blocking","Anti-Physical",IF(G247="warding","Anti-Magical","Physical"))))</f>
        <v/>
      </c>
      <c r="O247">
        <f>IF(F247&lt;&gt;"armor","","TBD")</f>
        <v/>
      </c>
      <c r="P247">
        <f>IF(O247="","",IF(OR(G247="channeling",G247="infusing"),"Magical",IF(G247="blocking","Anti-Physical",IF(G247="warding","Anti-Magical","Physical"))))</f>
        <v/>
      </c>
    </row>
    <row r="248">
      <c r="J248">
        <f>IF(G248="","",IFERROR(IF(G248="infusing",IFERROR(LOOKUP(2,1/ISNUMBER(SEARCH(_lookup!$D$3:$D$4,H248)),_lookup!$E$3:$E$4),"INT"),VLOOKUP(G248,_lookup!$A$3:$B$14,2,FALSE)),""))</f>
        <v/>
      </c>
      <c r="K248">
        <f>IF(F248&lt;&gt;"weapon","",IF(G248="miscellaneous","1-4",IF(I248="","",IFERROR(VLOOKUP(I248&amp;"|"&amp;IF(LEFT(H248,2)="2H",2,1)&amp;"|"&amp;IF(G248="slashing",1,0),_lookup!$G$3:$H$18,2,FALSE),""))))</f>
        <v/>
      </c>
      <c r="L248">
        <f>IF(K248="","",IF(OR(G248="channeling",G248="infusing"),"Magical",IF(G248="blocking","Anti-Physical",IF(G248="warding","Anti-Magical","Physical"))))</f>
        <v/>
      </c>
      <c r="O248">
        <f>IF(F248&lt;&gt;"armor","","TBD")</f>
        <v/>
      </c>
      <c r="P248">
        <f>IF(O248="","",IF(OR(G248="channeling",G248="infusing"),"Magical",IF(G248="blocking","Anti-Physical",IF(G248="warding","Anti-Magical","Physical"))))</f>
        <v/>
      </c>
    </row>
    <row r="249">
      <c r="J249">
        <f>IF(G249="","",IFERROR(IF(G249="infusing",IFERROR(LOOKUP(2,1/ISNUMBER(SEARCH(_lookup!$D$3:$D$4,H249)),_lookup!$E$3:$E$4),"INT"),VLOOKUP(G249,_lookup!$A$3:$B$14,2,FALSE)),""))</f>
        <v/>
      </c>
      <c r="K249">
        <f>IF(F249&lt;&gt;"weapon","",IF(G249="miscellaneous","1-4",IF(I249="","",IFERROR(VLOOKUP(I249&amp;"|"&amp;IF(LEFT(H249,2)="2H",2,1)&amp;"|"&amp;IF(G249="slashing",1,0),_lookup!$G$3:$H$18,2,FALSE),""))))</f>
        <v/>
      </c>
      <c r="L249">
        <f>IF(K249="","",IF(OR(G249="channeling",G249="infusing"),"Magical",IF(G249="blocking","Anti-Physical",IF(G249="warding","Anti-Magical","Physical"))))</f>
        <v/>
      </c>
      <c r="O249">
        <f>IF(F249&lt;&gt;"armor","","TBD")</f>
        <v/>
      </c>
      <c r="P249">
        <f>IF(O249="","",IF(OR(G249="channeling",G249="infusing"),"Magical",IF(G249="blocking","Anti-Physical",IF(G249="warding","Anti-Magical","Physical"))))</f>
        <v/>
      </c>
    </row>
    <row r="250">
      <c r="J250">
        <f>IF(G250="","",IFERROR(IF(G250="infusing",IFERROR(LOOKUP(2,1/ISNUMBER(SEARCH(_lookup!$D$3:$D$4,H250)),_lookup!$E$3:$E$4),"INT"),VLOOKUP(G250,_lookup!$A$3:$B$14,2,FALSE)),""))</f>
        <v/>
      </c>
      <c r="K250">
        <f>IF(F250&lt;&gt;"weapon","",IF(G250="miscellaneous","1-4",IF(I250="","",IFERROR(VLOOKUP(I250&amp;"|"&amp;IF(LEFT(H250,2)="2H",2,1)&amp;"|"&amp;IF(G250="slashing",1,0),_lookup!$G$3:$H$18,2,FALSE),""))))</f>
        <v/>
      </c>
      <c r="L250">
        <f>IF(K250="","",IF(OR(G250="channeling",G250="infusing"),"Magical",IF(G250="blocking","Anti-Physical",IF(G250="warding","Anti-Magical","Physical"))))</f>
        <v/>
      </c>
      <c r="O250">
        <f>IF(F250&lt;&gt;"armor","","TBD")</f>
        <v/>
      </c>
      <c r="P250">
        <f>IF(O250="","",IF(OR(G250="channeling",G250="infusing"),"Magical",IF(G250="blocking","Anti-Physical",IF(G250="warding","Anti-Magical","Physical"))))</f>
        <v/>
      </c>
    </row>
    <row r="251">
      <c r="J251">
        <f>IF(G251="","",IFERROR(IF(G251="infusing",IFERROR(LOOKUP(2,1/ISNUMBER(SEARCH(_lookup!$D$3:$D$4,H251)),_lookup!$E$3:$E$4),"INT"),VLOOKUP(G251,_lookup!$A$3:$B$14,2,FALSE)),""))</f>
        <v/>
      </c>
      <c r="K251">
        <f>IF(F251&lt;&gt;"weapon","",IF(G251="miscellaneous","1-4",IF(I251="","",IFERROR(VLOOKUP(I251&amp;"|"&amp;IF(LEFT(H251,2)="2H",2,1)&amp;"|"&amp;IF(G251="slashing",1,0),_lookup!$G$3:$H$18,2,FALSE),""))))</f>
        <v/>
      </c>
      <c r="L251">
        <f>IF(K251="","",IF(OR(G251="channeling",G251="infusing"),"Magical",IF(G251="blocking","Anti-Physical",IF(G251="warding","Anti-Magical","Physical"))))</f>
        <v/>
      </c>
      <c r="O251">
        <f>IF(F251&lt;&gt;"armor","","TBD")</f>
        <v/>
      </c>
      <c r="P251">
        <f>IF(O251="","",IF(OR(G251="channeling",G251="infusing"),"Magical",IF(G251="blocking","Anti-Physical",IF(G251="warding","Anti-Magical","Physical"))))</f>
        <v/>
      </c>
    </row>
    <row r="252">
      <c r="J252">
        <f>IF(G252="","",IFERROR(IF(G252="infusing",IFERROR(LOOKUP(2,1/ISNUMBER(SEARCH(_lookup!$D$3:$D$4,H252)),_lookup!$E$3:$E$4),"INT"),VLOOKUP(G252,_lookup!$A$3:$B$14,2,FALSE)),""))</f>
        <v/>
      </c>
      <c r="K252">
        <f>IF(F252&lt;&gt;"weapon","",IF(G252="miscellaneous","1-4",IF(I252="","",IFERROR(VLOOKUP(I252&amp;"|"&amp;IF(LEFT(H252,2)="2H",2,1)&amp;"|"&amp;IF(G252="slashing",1,0),_lookup!$G$3:$H$18,2,FALSE),""))))</f>
        <v/>
      </c>
      <c r="L252">
        <f>IF(K252="","",IF(OR(G252="channeling",G252="infusing"),"Magical",IF(G252="blocking","Anti-Physical",IF(G252="warding","Anti-Magical","Physical"))))</f>
        <v/>
      </c>
      <c r="O252">
        <f>IF(F252&lt;&gt;"armor","","TBD")</f>
        <v/>
      </c>
      <c r="P252">
        <f>IF(O252="","",IF(OR(G252="channeling",G252="infusing"),"Magical",IF(G252="blocking","Anti-Physical",IF(G252="warding","Anti-Magical","Physical"))))</f>
        <v/>
      </c>
    </row>
    <row r="253">
      <c r="J253">
        <f>IF(G253="","",IFERROR(IF(G253="infusing",IFERROR(LOOKUP(2,1/ISNUMBER(SEARCH(_lookup!$D$3:$D$4,H253)),_lookup!$E$3:$E$4),"INT"),VLOOKUP(G253,_lookup!$A$3:$B$14,2,FALSE)),""))</f>
        <v/>
      </c>
      <c r="K253">
        <f>IF(F253&lt;&gt;"weapon","",IF(G253="miscellaneous","1-4",IF(I253="","",IFERROR(VLOOKUP(I253&amp;"|"&amp;IF(LEFT(H253,2)="2H",2,1)&amp;"|"&amp;IF(G253="slashing",1,0),_lookup!$G$3:$H$18,2,FALSE),""))))</f>
        <v/>
      </c>
      <c r="L253">
        <f>IF(K253="","",IF(OR(G253="channeling",G253="infusing"),"Magical",IF(G253="blocking","Anti-Physical",IF(G253="warding","Anti-Magical","Physical"))))</f>
        <v/>
      </c>
      <c r="O253">
        <f>IF(F253&lt;&gt;"armor","","TBD")</f>
        <v/>
      </c>
      <c r="P253">
        <f>IF(O253="","",IF(OR(G253="channeling",G253="infusing"),"Magical",IF(G253="blocking","Anti-Physical",IF(G253="warding","Anti-Magical","Physical"))))</f>
        <v/>
      </c>
    </row>
    <row r="254">
      <c r="J254">
        <f>IF(G254="","",IFERROR(IF(G254="infusing",IFERROR(LOOKUP(2,1/ISNUMBER(SEARCH(_lookup!$D$3:$D$4,H254)),_lookup!$E$3:$E$4),"INT"),VLOOKUP(G254,_lookup!$A$3:$B$14,2,FALSE)),""))</f>
        <v/>
      </c>
      <c r="K254">
        <f>IF(F254&lt;&gt;"weapon","",IF(G254="miscellaneous","1-4",IF(I254="","",IFERROR(VLOOKUP(I254&amp;"|"&amp;IF(LEFT(H254,2)="2H",2,1)&amp;"|"&amp;IF(G254="slashing",1,0),_lookup!$G$3:$H$18,2,FALSE),""))))</f>
        <v/>
      </c>
      <c r="L254">
        <f>IF(K254="","",IF(OR(G254="channeling",G254="infusing"),"Magical",IF(G254="blocking","Anti-Physical",IF(G254="warding","Anti-Magical","Physical"))))</f>
        <v/>
      </c>
      <c r="O254">
        <f>IF(F254&lt;&gt;"armor","","TBD")</f>
        <v/>
      </c>
      <c r="P254">
        <f>IF(O254="","",IF(OR(G254="channeling",G254="infusing"),"Magical",IF(G254="blocking","Anti-Physical",IF(G254="warding","Anti-Magical","Physical"))))</f>
        <v/>
      </c>
    </row>
    <row r="255">
      <c r="J255">
        <f>IF(G255="","",IFERROR(IF(G255="infusing",IFERROR(LOOKUP(2,1/ISNUMBER(SEARCH(_lookup!$D$3:$D$4,H255)),_lookup!$E$3:$E$4),"INT"),VLOOKUP(G255,_lookup!$A$3:$B$14,2,FALSE)),""))</f>
        <v/>
      </c>
      <c r="K255">
        <f>IF(F255&lt;&gt;"weapon","",IF(G255="miscellaneous","1-4",IF(I255="","",IFERROR(VLOOKUP(I255&amp;"|"&amp;IF(LEFT(H255,2)="2H",2,1)&amp;"|"&amp;IF(G255="slashing",1,0),_lookup!$G$3:$H$18,2,FALSE),""))))</f>
        <v/>
      </c>
      <c r="L255">
        <f>IF(K255="","",IF(OR(G255="channeling",G255="infusing"),"Magical",IF(G255="blocking","Anti-Physical",IF(G255="warding","Anti-Magical","Physical"))))</f>
        <v/>
      </c>
      <c r="O255">
        <f>IF(F255&lt;&gt;"armor","","TBD")</f>
        <v/>
      </c>
      <c r="P255">
        <f>IF(O255="","",IF(OR(G255="channeling",G255="infusing"),"Magical",IF(G255="blocking","Anti-Physical",IF(G255="warding","Anti-Magical","Physical"))))</f>
        <v/>
      </c>
    </row>
    <row r="256">
      <c r="J256">
        <f>IF(G256="","",IFERROR(IF(G256="infusing",IFERROR(LOOKUP(2,1/ISNUMBER(SEARCH(_lookup!$D$3:$D$4,H256)),_lookup!$E$3:$E$4),"INT"),VLOOKUP(G256,_lookup!$A$3:$B$14,2,FALSE)),""))</f>
        <v/>
      </c>
      <c r="K256">
        <f>IF(F256&lt;&gt;"weapon","",IF(G256="miscellaneous","1-4",IF(I256="","",IFERROR(VLOOKUP(I256&amp;"|"&amp;IF(LEFT(H256,2)="2H",2,1)&amp;"|"&amp;IF(G256="slashing",1,0),_lookup!$G$3:$H$18,2,FALSE),""))))</f>
        <v/>
      </c>
      <c r="L256">
        <f>IF(K256="","",IF(OR(G256="channeling",G256="infusing"),"Magical",IF(G256="blocking","Anti-Physical",IF(G256="warding","Anti-Magical","Physical"))))</f>
        <v/>
      </c>
      <c r="O256">
        <f>IF(F256&lt;&gt;"armor","","TBD")</f>
        <v/>
      </c>
      <c r="P256">
        <f>IF(O256="","",IF(OR(G256="channeling",G256="infusing"),"Magical",IF(G256="blocking","Anti-Physical",IF(G256="warding","Anti-Magical","Physical"))))</f>
        <v/>
      </c>
    </row>
    <row r="257">
      <c r="J257">
        <f>IF(G257="","",IFERROR(IF(G257="infusing",IFERROR(LOOKUP(2,1/ISNUMBER(SEARCH(_lookup!$D$3:$D$4,H257)),_lookup!$E$3:$E$4),"INT"),VLOOKUP(G257,_lookup!$A$3:$B$14,2,FALSE)),""))</f>
        <v/>
      </c>
      <c r="K257">
        <f>IF(F257&lt;&gt;"weapon","",IF(G257="miscellaneous","1-4",IF(I257="","",IFERROR(VLOOKUP(I257&amp;"|"&amp;IF(LEFT(H257,2)="2H",2,1)&amp;"|"&amp;IF(G257="slashing",1,0),_lookup!$G$3:$H$18,2,FALSE),""))))</f>
        <v/>
      </c>
      <c r="L257">
        <f>IF(K257="","",IF(OR(G257="channeling",G257="infusing"),"Magical",IF(G257="blocking","Anti-Physical",IF(G257="warding","Anti-Magical","Physical"))))</f>
        <v/>
      </c>
      <c r="O257">
        <f>IF(F257&lt;&gt;"armor","","TBD")</f>
        <v/>
      </c>
      <c r="P257">
        <f>IF(O257="","",IF(OR(G257="channeling",G257="infusing"),"Magical",IF(G257="blocking","Anti-Physical",IF(G257="warding","Anti-Magical","Physical"))))</f>
        <v/>
      </c>
    </row>
    <row r="258">
      <c r="J258">
        <f>IF(G258="","",IFERROR(IF(G258="infusing",IFERROR(LOOKUP(2,1/ISNUMBER(SEARCH(_lookup!$D$3:$D$4,H258)),_lookup!$E$3:$E$4),"INT"),VLOOKUP(G258,_lookup!$A$3:$B$14,2,FALSE)),""))</f>
        <v/>
      </c>
      <c r="K258">
        <f>IF(F258&lt;&gt;"weapon","",IF(G258="miscellaneous","1-4",IF(I258="","",IFERROR(VLOOKUP(I258&amp;"|"&amp;IF(LEFT(H258,2)="2H",2,1)&amp;"|"&amp;IF(G258="slashing",1,0),_lookup!$G$3:$H$18,2,FALSE),""))))</f>
        <v/>
      </c>
      <c r="L258">
        <f>IF(K258="","",IF(OR(G258="channeling",G258="infusing"),"Magical",IF(G258="blocking","Anti-Physical",IF(G258="warding","Anti-Magical","Physical"))))</f>
        <v/>
      </c>
      <c r="O258">
        <f>IF(F258&lt;&gt;"armor","","TBD")</f>
        <v/>
      </c>
      <c r="P258">
        <f>IF(O258="","",IF(OR(G258="channeling",G258="infusing"),"Magical",IF(G258="blocking","Anti-Physical",IF(G258="warding","Anti-Magical","Physical"))))</f>
        <v/>
      </c>
    </row>
    <row r="259">
      <c r="J259">
        <f>IF(G259="","",IFERROR(IF(G259="infusing",IFERROR(LOOKUP(2,1/ISNUMBER(SEARCH(_lookup!$D$3:$D$4,H259)),_lookup!$E$3:$E$4),"INT"),VLOOKUP(G259,_lookup!$A$3:$B$14,2,FALSE)),""))</f>
        <v/>
      </c>
      <c r="K259">
        <f>IF(F259&lt;&gt;"weapon","",IF(G259="miscellaneous","1-4",IF(I259="","",IFERROR(VLOOKUP(I259&amp;"|"&amp;IF(LEFT(H259,2)="2H",2,1)&amp;"|"&amp;IF(G259="slashing",1,0),_lookup!$G$3:$H$18,2,FALSE),""))))</f>
        <v/>
      </c>
      <c r="L259">
        <f>IF(K259="","",IF(OR(G259="channeling",G259="infusing"),"Magical",IF(G259="blocking","Anti-Physical",IF(G259="warding","Anti-Magical","Physical"))))</f>
        <v/>
      </c>
      <c r="O259">
        <f>IF(F259&lt;&gt;"armor","","TBD")</f>
        <v/>
      </c>
      <c r="P259">
        <f>IF(O259="","",IF(OR(G259="channeling",G259="infusing"),"Magical",IF(G259="blocking","Anti-Physical",IF(G259="warding","Anti-Magical","Physical"))))</f>
        <v/>
      </c>
    </row>
    <row r="260">
      <c r="J260">
        <f>IF(G260="","",IFERROR(IF(G260="infusing",IFERROR(LOOKUP(2,1/ISNUMBER(SEARCH(_lookup!$D$3:$D$4,H260)),_lookup!$E$3:$E$4),"INT"),VLOOKUP(G260,_lookup!$A$3:$B$14,2,FALSE)),""))</f>
        <v/>
      </c>
      <c r="K260">
        <f>IF(F260&lt;&gt;"weapon","",IF(G260="miscellaneous","1-4",IF(I260="","",IFERROR(VLOOKUP(I260&amp;"|"&amp;IF(LEFT(H260,2)="2H",2,1)&amp;"|"&amp;IF(G260="slashing",1,0),_lookup!$G$3:$H$18,2,FALSE),""))))</f>
        <v/>
      </c>
      <c r="L260">
        <f>IF(K260="","",IF(OR(G260="channeling",G260="infusing"),"Magical",IF(G260="blocking","Anti-Physical",IF(G260="warding","Anti-Magical","Physical"))))</f>
        <v/>
      </c>
      <c r="O260">
        <f>IF(F260&lt;&gt;"armor","","TBD")</f>
        <v/>
      </c>
      <c r="P260">
        <f>IF(O260="","",IF(OR(G260="channeling",G260="infusing"),"Magical",IF(G260="blocking","Anti-Physical",IF(G260="warding","Anti-Magical","Physical"))))</f>
        <v/>
      </c>
    </row>
    <row r="261">
      <c r="J261">
        <f>IF(G261="","",IFERROR(IF(G261="infusing",IFERROR(LOOKUP(2,1/ISNUMBER(SEARCH(_lookup!$D$3:$D$4,H261)),_lookup!$E$3:$E$4),"INT"),VLOOKUP(G261,_lookup!$A$3:$B$14,2,FALSE)),""))</f>
        <v/>
      </c>
      <c r="K261">
        <f>IF(F261&lt;&gt;"weapon","",IF(G261="miscellaneous","1-4",IF(I261="","",IFERROR(VLOOKUP(I261&amp;"|"&amp;IF(LEFT(H261,2)="2H",2,1)&amp;"|"&amp;IF(G261="slashing",1,0),_lookup!$G$3:$H$18,2,FALSE),""))))</f>
        <v/>
      </c>
      <c r="L261">
        <f>IF(K261="","",IF(OR(G261="channeling",G261="infusing"),"Magical",IF(G261="blocking","Anti-Physical",IF(G261="warding","Anti-Magical","Physical"))))</f>
        <v/>
      </c>
      <c r="O261">
        <f>IF(F261&lt;&gt;"armor","","TBD")</f>
        <v/>
      </c>
      <c r="P261">
        <f>IF(O261="","",IF(OR(G261="channeling",G261="infusing"),"Magical",IF(G261="blocking","Anti-Physical",IF(G261="warding","Anti-Magical","Physical"))))</f>
        <v/>
      </c>
    </row>
    <row r="262">
      <c r="J262">
        <f>IF(G262="","",IFERROR(IF(G262="infusing",IFERROR(LOOKUP(2,1/ISNUMBER(SEARCH(_lookup!$D$3:$D$4,H262)),_lookup!$E$3:$E$4),"INT"),VLOOKUP(G262,_lookup!$A$3:$B$14,2,FALSE)),""))</f>
        <v/>
      </c>
      <c r="K262">
        <f>IF(F262&lt;&gt;"weapon","",IF(G262="miscellaneous","1-4",IF(I262="","",IFERROR(VLOOKUP(I262&amp;"|"&amp;IF(LEFT(H262,2)="2H",2,1)&amp;"|"&amp;IF(G262="slashing",1,0),_lookup!$G$3:$H$18,2,FALSE),""))))</f>
        <v/>
      </c>
      <c r="L262">
        <f>IF(K262="","",IF(OR(G262="channeling",G262="infusing"),"Magical",IF(G262="blocking","Anti-Physical",IF(G262="warding","Anti-Magical","Physical"))))</f>
        <v/>
      </c>
      <c r="O262">
        <f>IF(F262&lt;&gt;"armor","","TBD")</f>
        <v/>
      </c>
      <c r="P262">
        <f>IF(O262="","",IF(OR(G262="channeling",G262="infusing"),"Magical",IF(G262="blocking","Anti-Physical",IF(G262="warding","Anti-Magical","Physical"))))</f>
        <v/>
      </c>
    </row>
    <row r="263">
      <c r="J263">
        <f>IF(G263="","",IFERROR(IF(G263="infusing",IFERROR(LOOKUP(2,1/ISNUMBER(SEARCH(_lookup!$D$3:$D$4,H263)),_lookup!$E$3:$E$4),"INT"),VLOOKUP(G263,_lookup!$A$3:$B$14,2,FALSE)),""))</f>
        <v/>
      </c>
      <c r="K263">
        <f>IF(F263&lt;&gt;"weapon","",IF(G263="miscellaneous","1-4",IF(I263="","",IFERROR(VLOOKUP(I263&amp;"|"&amp;IF(LEFT(H263,2)="2H",2,1)&amp;"|"&amp;IF(G263="slashing",1,0),_lookup!$G$3:$H$18,2,FALSE),""))))</f>
        <v/>
      </c>
      <c r="L263">
        <f>IF(K263="","",IF(OR(G263="channeling",G263="infusing"),"Magical",IF(G263="blocking","Anti-Physical",IF(G263="warding","Anti-Magical","Physical"))))</f>
        <v/>
      </c>
      <c r="O263">
        <f>IF(F263&lt;&gt;"armor","","TBD")</f>
        <v/>
      </c>
      <c r="P263">
        <f>IF(O263="","",IF(OR(G263="channeling",G263="infusing"),"Magical",IF(G263="blocking","Anti-Physical",IF(G263="warding","Anti-Magical","Physical"))))</f>
        <v/>
      </c>
    </row>
    <row r="264">
      <c r="J264">
        <f>IF(G264="","",IFERROR(IF(G264="infusing",IFERROR(LOOKUP(2,1/ISNUMBER(SEARCH(_lookup!$D$3:$D$4,H264)),_lookup!$E$3:$E$4),"INT"),VLOOKUP(G264,_lookup!$A$3:$B$14,2,FALSE)),""))</f>
        <v/>
      </c>
      <c r="K264">
        <f>IF(F264&lt;&gt;"weapon","",IF(G264="miscellaneous","1-4",IF(I264="","",IFERROR(VLOOKUP(I264&amp;"|"&amp;IF(LEFT(H264,2)="2H",2,1)&amp;"|"&amp;IF(G264="slashing",1,0),_lookup!$G$3:$H$18,2,FALSE),""))))</f>
        <v/>
      </c>
      <c r="L264">
        <f>IF(K264="","",IF(OR(G264="channeling",G264="infusing"),"Magical",IF(G264="blocking","Anti-Physical",IF(G264="warding","Anti-Magical","Physical"))))</f>
        <v/>
      </c>
      <c r="O264">
        <f>IF(F264&lt;&gt;"armor","","TBD")</f>
        <v/>
      </c>
      <c r="P264">
        <f>IF(O264="","",IF(OR(G264="channeling",G264="infusing"),"Magical",IF(G264="blocking","Anti-Physical",IF(G264="warding","Anti-Magical","Physical"))))</f>
        <v/>
      </c>
    </row>
    <row r="265">
      <c r="J265">
        <f>IF(G265="","",IFERROR(IF(G265="infusing",IFERROR(LOOKUP(2,1/ISNUMBER(SEARCH(_lookup!$D$3:$D$4,H265)),_lookup!$E$3:$E$4),"INT"),VLOOKUP(G265,_lookup!$A$3:$B$14,2,FALSE)),""))</f>
        <v/>
      </c>
      <c r="K265">
        <f>IF(F265&lt;&gt;"weapon","",IF(G265="miscellaneous","1-4",IF(I265="","",IFERROR(VLOOKUP(I265&amp;"|"&amp;IF(LEFT(H265,2)="2H",2,1)&amp;"|"&amp;IF(G265="slashing",1,0),_lookup!$G$3:$H$18,2,FALSE),""))))</f>
        <v/>
      </c>
      <c r="L265">
        <f>IF(K265="","",IF(OR(G265="channeling",G265="infusing"),"Magical",IF(G265="blocking","Anti-Physical",IF(G265="warding","Anti-Magical","Physical"))))</f>
        <v/>
      </c>
      <c r="O265">
        <f>IF(F265&lt;&gt;"armor","","TBD")</f>
        <v/>
      </c>
      <c r="P265">
        <f>IF(O265="","",IF(OR(G265="channeling",G265="infusing"),"Magical",IF(G265="blocking","Anti-Physical",IF(G265="warding","Anti-Magical","Physical"))))</f>
        <v/>
      </c>
    </row>
    <row r="266">
      <c r="J266">
        <f>IF(G266="","",IFERROR(IF(G266="infusing",IFERROR(LOOKUP(2,1/ISNUMBER(SEARCH(_lookup!$D$3:$D$4,H266)),_lookup!$E$3:$E$4),"INT"),VLOOKUP(G266,_lookup!$A$3:$B$14,2,FALSE)),""))</f>
        <v/>
      </c>
      <c r="K266">
        <f>IF(F266&lt;&gt;"weapon","",IF(G266="miscellaneous","1-4",IF(I266="","",IFERROR(VLOOKUP(I266&amp;"|"&amp;IF(LEFT(H266,2)="2H",2,1)&amp;"|"&amp;IF(G266="slashing",1,0),_lookup!$G$3:$H$18,2,FALSE),""))))</f>
        <v/>
      </c>
      <c r="L266">
        <f>IF(K266="","",IF(OR(G266="channeling",G266="infusing"),"Magical",IF(G266="blocking","Anti-Physical",IF(G266="warding","Anti-Magical","Physical"))))</f>
        <v/>
      </c>
      <c r="O266">
        <f>IF(F266&lt;&gt;"armor","","TBD")</f>
        <v/>
      </c>
      <c r="P266">
        <f>IF(O266="","",IF(OR(G266="channeling",G266="infusing"),"Magical",IF(G266="blocking","Anti-Physical",IF(G266="warding","Anti-Magical","Physical"))))</f>
        <v/>
      </c>
    </row>
    <row r="267">
      <c r="J267">
        <f>IF(G267="","",IFERROR(IF(G267="infusing",IFERROR(LOOKUP(2,1/ISNUMBER(SEARCH(_lookup!$D$3:$D$4,H267)),_lookup!$E$3:$E$4),"INT"),VLOOKUP(G267,_lookup!$A$3:$B$14,2,FALSE)),""))</f>
        <v/>
      </c>
      <c r="K267">
        <f>IF(F267&lt;&gt;"weapon","",IF(G267="miscellaneous","1-4",IF(I267="","",IFERROR(VLOOKUP(I267&amp;"|"&amp;IF(LEFT(H267,2)="2H",2,1)&amp;"|"&amp;IF(G267="slashing",1,0),_lookup!$G$3:$H$18,2,FALSE),""))))</f>
        <v/>
      </c>
      <c r="L267">
        <f>IF(K267="","",IF(OR(G267="channeling",G267="infusing"),"Magical",IF(G267="blocking","Anti-Physical",IF(G267="warding","Anti-Magical","Physical"))))</f>
        <v/>
      </c>
      <c r="O267">
        <f>IF(F267&lt;&gt;"armor","","TBD")</f>
        <v/>
      </c>
      <c r="P267">
        <f>IF(O267="","",IF(OR(G267="channeling",G267="infusing"),"Magical",IF(G267="blocking","Anti-Physical",IF(G267="warding","Anti-Magical","Physical"))))</f>
        <v/>
      </c>
    </row>
    <row r="268">
      <c r="J268">
        <f>IF(G268="","",IFERROR(IF(G268="infusing",IFERROR(LOOKUP(2,1/ISNUMBER(SEARCH(_lookup!$D$3:$D$4,H268)),_lookup!$E$3:$E$4),"INT"),VLOOKUP(G268,_lookup!$A$3:$B$14,2,FALSE)),""))</f>
        <v/>
      </c>
      <c r="K268">
        <f>IF(F268&lt;&gt;"weapon","",IF(G268="miscellaneous","1-4",IF(I268="","",IFERROR(VLOOKUP(I268&amp;"|"&amp;IF(LEFT(H268,2)="2H",2,1)&amp;"|"&amp;IF(G268="slashing",1,0),_lookup!$G$3:$H$18,2,FALSE),""))))</f>
        <v/>
      </c>
      <c r="L268">
        <f>IF(K268="","",IF(OR(G268="channeling",G268="infusing"),"Magical",IF(G268="blocking","Anti-Physical",IF(G268="warding","Anti-Magical","Physical"))))</f>
        <v/>
      </c>
      <c r="O268">
        <f>IF(F268&lt;&gt;"armor","","TBD")</f>
        <v/>
      </c>
      <c r="P268">
        <f>IF(O268="","",IF(OR(G268="channeling",G268="infusing"),"Magical",IF(G268="blocking","Anti-Physical",IF(G268="warding","Anti-Magical","Physical"))))</f>
        <v/>
      </c>
    </row>
    <row r="269">
      <c r="J269">
        <f>IF(G269="","",IFERROR(IF(G269="infusing",IFERROR(LOOKUP(2,1/ISNUMBER(SEARCH(_lookup!$D$3:$D$4,H269)),_lookup!$E$3:$E$4),"INT"),VLOOKUP(G269,_lookup!$A$3:$B$14,2,FALSE)),""))</f>
        <v/>
      </c>
      <c r="K269">
        <f>IF(F269&lt;&gt;"weapon","",IF(G269="miscellaneous","1-4",IF(I269="","",IFERROR(VLOOKUP(I269&amp;"|"&amp;IF(LEFT(H269,2)="2H",2,1)&amp;"|"&amp;IF(G269="slashing",1,0),_lookup!$G$3:$H$18,2,FALSE),""))))</f>
        <v/>
      </c>
      <c r="L269">
        <f>IF(K269="","",IF(OR(G269="channeling",G269="infusing"),"Magical",IF(G269="blocking","Anti-Physical",IF(G269="warding","Anti-Magical","Physical"))))</f>
        <v/>
      </c>
      <c r="O269">
        <f>IF(F269&lt;&gt;"armor","","TBD")</f>
        <v/>
      </c>
      <c r="P269">
        <f>IF(O269="","",IF(OR(G269="channeling",G269="infusing"),"Magical",IF(G269="blocking","Anti-Physical",IF(G269="warding","Anti-Magical","Physical"))))</f>
        <v/>
      </c>
    </row>
    <row r="270">
      <c r="J270">
        <f>IF(G270="","",IFERROR(IF(G270="infusing",IFERROR(LOOKUP(2,1/ISNUMBER(SEARCH(_lookup!$D$3:$D$4,H270)),_lookup!$E$3:$E$4),"INT"),VLOOKUP(G270,_lookup!$A$3:$B$14,2,FALSE)),""))</f>
        <v/>
      </c>
      <c r="K270">
        <f>IF(F270&lt;&gt;"weapon","",IF(G270="miscellaneous","1-4",IF(I270="","",IFERROR(VLOOKUP(I270&amp;"|"&amp;IF(LEFT(H270,2)="2H",2,1)&amp;"|"&amp;IF(G270="slashing",1,0),_lookup!$G$3:$H$18,2,FALSE),""))))</f>
        <v/>
      </c>
      <c r="L270">
        <f>IF(K270="","",IF(OR(G270="channeling",G270="infusing"),"Magical",IF(G270="blocking","Anti-Physical",IF(G270="warding","Anti-Magical","Physical"))))</f>
        <v/>
      </c>
      <c r="O270">
        <f>IF(F270&lt;&gt;"armor","","TBD")</f>
        <v/>
      </c>
      <c r="P270">
        <f>IF(O270="","",IF(OR(G270="channeling",G270="infusing"),"Magical",IF(G270="blocking","Anti-Physical",IF(G270="warding","Anti-Magical","Physical"))))</f>
        <v/>
      </c>
    </row>
    <row r="271">
      <c r="J271">
        <f>IF(G271="","",IFERROR(IF(G271="infusing",IFERROR(LOOKUP(2,1/ISNUMBER(SEARCH(_lookup!$D$3:$D$4,H271)),_lookup!$E$3:$E$4),"INT"),VLOOKUP(G271,_lookup!$A$3:$B$14,2,FALSE)),""))</f>
        <v/>
      </c>
      <c r="K271">
        <f>IF(F271&lt;&gt;"weapon","",IF(G271="miscellaneous","1-4",IF(I271="","",IFERROR(VLOOKUP(I271&amp;"|"&amp;IF(LEFT(H271,2)="2H",2,1)&amp;"|"&amp;IF(G271="slashing",1,0),_lookup!$G$3:$H$18,2,FALSE),""))))</f>
        <v/>
      </c>
      <c r="L271">
        <f>IF(K271="","",IF(OR(G271="channeling",G271="infusing"),"Magical",IF(G271="blocking","Anti-Physical",IF(G271="warding","Anti-Magical","Physical"))))</f>
        <v/>
      </c>
      <c r="O271">
        <f>IF(F271&lt;&gt;"armor","","TBD")</f>
        <v/>
      </c>
      <c r="P271">
        <f>IF(O271="","",IF(OR(G271="channeling",G271="infusing"),"Magical",IF(G271="blocking","Anti-Physical",IF(G271="warding","Anti-Magical","Physical"))))</f>
        <v/>
      </c>
    </row>
    <row r="272">
      <c r="J272">
        <f>IF(G272="","",IFERROR(IF(G272="infusing",IFERROR(LOOKUP(2,1/ISNUMBER(SEARCH(_lookup!$D$3:$D$4,H272)),_lookup!$E$3:$E$4),"INT"),VLOOKUP(G272,_lookup!$A$3:$B$14,2,FALSE)),""))</f>
        <v/>
      </c>
      <c r="K272">
        <f>IF(F272&lt;&gt;"weapon","",IF(G272="miscellaneous","1-4",IF(I272="","",IFERROR(VLOOKUP(I272&amp;"|"&amp;IF(LEFT(H272,2)="2H",2,1)&amp;"|"&amp;IF(G272="slashing",1,0),_lookup!$G$3:$H$18,2,FALSE),""))))</f>
        <v/>
      </c>
      <c r="L272">
        <f>IF(K272="","",IF(OR(G272="channeling",G272="infusing"),"Magical",IF(G272="blocking","Anti-Physical",IF(G272="warding","Anti-Magical","Physical"))))</f>
        <v/>
      </c>
      <c r="O272">
        <f>IF(F272&lt;&gt;"armor","","TBD")</f>
        <v/>
      </c>
      <c r="P272">
        <f>IF(O272="","",IF(OR(G272="channeling",G272="infusing"),"Magical",IF(G272="blocking","Anti-Physical",IF(G272="warding","Anti-Magical","Physical"))))</f>
        <v/>
      </c>
    </row>
    <row r="273">
      <c r="J273">
        <f>IF(G273="","",IFERROR(IF(G273="infusing",IFERROR(LOOKUP(2,1/ISNUMBER(SEARCH(_lookup!$D$3:$D$4,H273)),_lookup!$E$3:$E$4),"INT"),VLOOKUP(G273,_lookup!$A$3:$B$14,2,FALSE)),""))</f>
        <v/>
      </c>
      <c r="K273">
        <f>IF(F273&lt;&gt;"weapon","",IF(G273="miscellaneous","1-4",IF(I273="","",IFERROR(VLOOKUP(I273&amp;"|"&amp;IF(LEFT(H273,2)="2H",2,1)&amp;"|"&amp;IF(G273="slashing",1,0),_lookup!$G$3:$H$18,2,FALSE),""))))</f>
        <v/>
      </c>
      <c r="L273">
        <f>IF(K273="","",IF(OR(G273="channeling",G273="infusing"),"Magical",IF(G273="blocking","Anti-Physical",IF(G273="warding","Anti-Magical","Physical"))))</f>
        <v/>
      </c>
      <c r="O273">
        <f>IF(F273&lt;&gt;"armor","","TBD")</f>
        <v/>
      </c>
      <c r="P273">
        <f>IF(O273="","",IF(OR(G273="channeling",G273="infusing"),"Magical",IF(G273="blocking","Anti-Physical",IF(G273="warding","Anti-Magical","Physical"))))</f>
        <v/>
      </c>
    </row>
    <row r="274">
      <c r="J274">
        <f>IF(G274="","",IFERROR(IF(G274="infusing",IFERROR(LOOKUP(2,1/ISNUMBER(SEARCH(_lookup!$D$3:$D$4,H274)),_lookup!$E$3:$E$4),"INT"),VLOOKUP(G274,_lookup!$A$3:$B$14,2,FALSE)),""))</f>
        <v/>
      </c>
      <c r="K274">
        <f>IF(F274&lt;&gt;"weapon","",IF(G274="miscellaneous","1-4",IF(I274="","",IFERROR(VLOOKUP(I274&amp;"|"&amp;IF(LEFT(H274,2)="2H",2,1)&amp;"|"&amp;IF(G274="slashing",1,0),_lookup!$G$3:$H$18,2,FALSE),""))))</f>
        <v/>
      </c>
      <c r="L274">
        <f>IF(K274="","",IF(OR(G274="channeling",G274="infusing"),"Magical",IF(G274="blocking","Anti-Physical",IF(G274="warding","Anti-Magical","Physical"))))</f>
        <v/>
      </c>
      <c r="O274">
        <f>IF(F274&lt;&gt;"armor","","TBD")</f>
        <v/>
      </c>
      <c r="P274">
        <f>IF(O274="","",IF(OR(G274="channeling",G274="infusing"),"Magical",IF(G274="blocking","Anti-Physical",IF(G274="warding","Anti-Magical","Physical"))))</f>
        <v/>
      </c>
    </row>
    <row r="275">
      <c r="J275">
        <f>IF(G275="","",IFERROR(IF(G275="infusing",IFERROR(LOOKUP(2,1/ISNUMBER(SEARCH(_lookup!$D$3:$D$4,H275)),_lookup!$E$3:$E$4),"INT"),VLOOKUP(G275,_lookup!$A$3:$B$14,2,FALSE)),""))</f>
        <v/>
      </c>
      <c r="K275">
        <f>IF(F275&lt;&gt;"weapon","",IF(G275="miscellaneous","1-4",IF(I275="","",IFERROR(VLOOKUP(I275&amp;"|"&amp;IF(LEFT(H275,2)="2H",2,1)&amp;"|"&amp;IF(G275="slashing",1,0),_lookup!$G$3:$H$18,2,FALSE),""))))</f>
        <v/>
      </c>
      <c r="L275">
        <f>IF(K275="","",IF(OR(G275="channeling",G275="infusing"),"Magical",IF(G275="blocking","Anti-Physical",IF(G275="warding","Anti-Magical","Physical"))))</f>
        <v/>
      </c>
      <c r="O275">
        <f>IF(F275&lt;&gt;"armor","","TBD")</f>
        <v/>
      </c>
      <c r="P275">
        <f>IF(O275="","",IF(OR(G275="channeling",G275="infusing"),"Magical",IF(G275="blocking","Anti-Physical",IF(G275="warding","Anti-Magical","Physical"))))</f>
        <v/>
      </c>
    </row>
    <row r="276">
      <c r="J276">
        <f>IF(G276="","",IFERROR(IF(G276="infusing",IFERROR(LOOKUP(2,1/ISNUMBER(SEARCH(_lookup!$D$3:$D$4,H276)),_lookup!$E$3:$E$4),"INT"),VLOOKUP(G276,_lookup!$A$3:$B$14,2,FALSE)),""))</f>
        <v/>
      </c>
      <c r="K276">
        <f>IF(F276&lt;&gt;"weapon","",IF(G276="miscellaneous","1-4",IF(I276="","",IFERROR(VLOOKUP(I276&amp;"|"&amp;IF(LEFT(H276,2)="2H",2,1)&amp;"|"&amp;IF(G276="slashing",1,0),_lookup!$G$3:$H$18,2,FALSE),""))))</f>
        <v/>
      </c>
      <c r="L276">
        <f>IF(K276="","",IF(OR(G276="channeling",G276="infusing"),"Magical",IF(G276="blocking","Anti-Physical",IF(G276="warding","Anti-Magical","Physical"))))</f>
        <v/>
      </c>
      <c r="O276">
        <f>IF(F276&lt;&gt;"armor","","TBD")</f>
        <v/>
      </c>
      <c r="P276">
        <f>IF(O276="","",IF(OR(G276="channeling",G276="infusing"),"Magical",IF(G276="blocking","Anti-Physical",IF(G276="warding","Anti-Magical","Physical"))))</f>
        <v/>
      </c>
    </row>
    <row r="277">
      <c r="J277">
        <f>IF(G277="","",IFERROR(IF(G277="infusing",IFERROR(LOOKUP(2,1/ISNUMBER(SEARCH(_lookup!$D$3:$D$4,H277)),_lookup!$E$3:$E$4),"INT"),VLOOKUP(G277,_lookup!$A$3:$B$14,2,FALSE)),""))</f>
        <v/>
      </c>
      <c r="K277">
        <f>IF(F277&lt;&gt;"weapon","",IF(G277="miscellaneous","1-4",IF(I277="","",IFERROR(VLOOKUP(I277&amp;"|"&amp;IF(LEFT(H277,2)="2H",2,1)&amp;"|"&amp;IF(G277="slashing",1,0),_lookup!$G$3:$H$18,2,FALSE),""))))</f>
        <v/>
      </c>
      <c r="L277">
        <f>IF(K277="","",IF(OR(G277="channeling",G277="infusing"),"Magical",IF(G277="blocking","Anti-Physical",IF(G277="warding","Anti-Magical","Physical"))))</f>
        <v/>
      </c>
      <c r="O277">
        <f>IF(F277&lt;&gt;"armor","","TBD")</f>
        <v/>
      </c>
      <c r="P277">
        <f>IF(O277="","",IF(OR(G277="channeling",G277="infusing"),"Magical",IF(G277="blocking","Anti-Physical",IF(G277="warding","Anti-Magical","Physical"))))</f>
        <v/>
      </c>
    </row>
    <row r="278">
      <c r="J278">
        <f>IF(G278="","",IFERROR(IF(G278="infusing",IFERROR(LOOKUP(2,1/ISNUMBER(SEARCH(_lookup!$D$3:$D$4,H278)),_lookup!$E$3:$E$4),"INT"),VLOOKUP(G278,_lookup!$A$3:$B$14,2,FALSE)),""))</f>
        <v/>
      </c>
      <c r="K278">
        <f>IF(F278&lt;&gt;"weapon","",IF(G278="miscellaneous","1-4",IF(I278="","",IFERROR(VLOOKUP(I278&amp;"|"&amp;IF(LEFT(H278,2)="2H",2,1)&amp;"|"&amp;IF(G278="slashing",1,0),_lookup!$G$3:$H$18,2,FALSE),""))))</f>
        <v/>
      </c>
      <c r="L278">
        <f>IF(K278="","",IF(OR(G278="channeling",G278="infusing"),"Magical",IF(G278="blocking","Anti-Physical",IF(G278="warding","Anti-Magical","Physical"))))</f>
        <v/>
      </c>
      <c r="O278">
        <f>IF(F278&lt;&gt;"armor","","TBD")</f>
        <v/>
      </c>
      <c r="P278">
        <f>IF(O278="","",IF(OR(G278="channeling",G278="infusing"),"Magical",IF(G278="blocking","Anti-Physical",IF(G278="warding","Anti-Magical","Physical"))))</f>
        <v/>
      </c>
    </row>
    <row r="279">
      <c r="J279">
        <f>IF(G279="","",IFERROR(IF(G279="infusing",IFERROR(LOOKUP(2,1/ISNUMBER(SEARCH(_lookup!$D$3:$D$4,H279)),_lookup!$E$3:$E$4),"INT"),VLOOKUP(G279,_lookup!$A$3:$B$14,2,FALSE)),""))</f>
        <v/>
      </c>
      <c r="K279">
        <f>IF(F279&lt;&gt;"weapon","",IF(G279="miscellaneous","1-4",IF(I279="","",IFERROR(VLOOKUP(I279&amp;"|"&amp;IF(LEFT(H279,2)="2H",2,1)&amp;"|"&amp;IF(G279="slashing",1,0),_lookup!$G$3:$H$18,2,FALSE),""))))</f>
        <v/>
      </c>
      <c r="L279">
        <f>IF(K279="","",IF(OR(G279="channeling",G279="infusing"),"Magical",IF(G279="blocking","Anti-Physical",IF(G279="warding","Anti-Magical","Physical"))))</f>
        <v/>
      </c>
      <c r="O279">
        <f>IF(F279&lt;&gt;"armor","","TBD")</f>
        <v/>
      </c>
      <c r="P279">
        <f>IF(O279="","",IF(OR(G279="channeling",G279="infusing"),"Magical",IF(G279="blocking","Anti-Physical",IF(G279="warding","Anti-Magical","Physical"))))</f>
        <v/>
      </c>
    </row>
    <row r="280">
      <c r="J280">
        <f>IF(G280="","",IFERROR(IF(G280="infusing",IFERROR(LOOKUP(2,1/ISNUMBER(SEARCH(_lookup!$D$3:$D$4,H280)),_lookup!$E$3:$E$4),"INT"),VLOOKUP(G280,_lookup!$A$3:$B$14,2,FALSE)),""))</f>
        <v/>
      </c>
      <c r="K280">
        <f>IF(F280&lt;&gt;"weapon","",IF(G280="miscellaneous","1-4",IF(I280="","",IFERROR(VLOOKUP(I280&amp;"|"&amp;IF(LEFT(H280,2)="2H",2,1)&amp;"|"&amp;IF(G280="slashing",1,0),_lookup!$G$3:$H$18,2,FALSE),""))))</f>
        <v/>
      </c>
      <c r="L280">
        <f>IF(K280="","",IF(OR(G280="channeling",G280="infusing"),"Magical",IF(G280="blocking","Anti-Physical",IF(G280="warding","Anti-Magical","Physical"))))</f>
        <v/>
      </c>
      <c r="O280">
        <f>IF(F280&lt;&gt;"armor","","TBD")</f>
        <v/>
      </c>
      <c r="P280">
        <f>IF(O280="","",IF(OR(G280="channeling",G280="infusing"),"Magical",IF(G280="blocking","Anti-Physical",IF(G280="warding","Anti-Magical","Physical"))))</f>
        <v/>
      </c>
    </row>
    <row r="281">
      <c r="J281">
        <f>IF(G281="","",IFERROR(IF(G281="infusing",IFERROR(LOOKUP(2,1/ISNUMBER(SEARCH(_lookup!$D$3:$D$4,H281)),_lookup!$E$3:$E$4),"INT"),VLOOKUP(G281,_lookup!$A$3:$B$14,2,FALSE)),""))</f>
        <v/>
      </c>
      <c r="K281">
        <f>IF(F281&lt;&gt;"weapon","",IF(G281="miscellaneous","1-4",IF(I281="","",IFERROR(VLOOKUP(I281&amp;"|"&amp;IF(LEFT(H281,2)="2H",2,1)&amp;"|"&amp;IF(G281="slashing",1,0),_lookup!$G$3:$H$18,2,FALSE),""))))</f>
        <v/>
      </c>
      <c r="L281">
        <f>IF(K281="","",IF(OR(G281="channeling",G281="infusing"),"Magical",IF(G281="blocking","Anti-Physical",IF(G281="warding","Anti-Magical","Physical"))))</f>
        <v/>
      </c>
      <c r="O281">
        <f>IF(F281&lt;&gt;"armor","","TBD")</f>
        <v/>
      </c>
      <c r="P281">
        <f>IF(O281="","",IF(OR(G281="channeling",G281="infusing"),"Magical",IF(G281="blocking","Anti-Physical",IF(G281="warding","Anti-Magical","Physical"))))</f>
        <v/>
      </c>
    </row>
    <row r="282">
      <c r="J282">
        <f>IF(G282="","",IFERROR(IF(G282="infusing",IFERROR(LOOKUP(2,1/ISNUMBER(SEARCH(_lookup!$D$3:$D$4,H282)),_lookup!$E$3:$E$4),"INT"),VLOOKUP(G282,_lookup!$A$3:$B$14,2,FALSE)),""))</f>
        <v/>
      </c>
      <c r="K282">
        <f>IF(F282&lt;&gt;"weapon","",IF(G282="miscellaneous","1-4",IF(I282="","",IFERROR(VLOOKUP(I282&amp;"|"&amp;IF(LEFT(H282,2)="2H",2,1)&amp;"|"&amp;IF(G282="slashing",1,0),_lookup!$G$3:$H$18,2,FALSE),""))))</f>
        <v/>
      </c>
      <c r="L282">
        <f>IF(K282="","",IF(OR(G282="channeling",G282="infusing"),"Magical",IF(G282="blocking","Anti-Physical",IF(G282="warding","Anti-Magical","Physical"))))</f>
        <v/>
      </c>
      <c r="O282">
        <f>IF(F282&lt;&gt;"armor","","TBD")</f>
        <v/>
      </c>
      <c r="P282">
        <f>IF(O282="","",IF(OR(G282="channeling",G282="infusing"),"Magical",IF(G282="blocking","Anti-Physical",IF(G282="warding","Anti-Magical","Physical"))))</f>
        <v/>
      </c>
    </row>
    <row r="283">
      <c r="J283">
        <f>IF(G283="","",IFERROR(IF(G283="infusing",IFERROR(LOOKUP(2,1/ISNUMBER(SEARCH(_lookup!$D$3:$D$4,H283)),_lookup!$E$3:$E$4),"INT"),VLOOKUP(G283,_lookup!$A$3:$B$14,2,FALSE)),""))</f>
        <v/>
      </c>
      <c r="K283">
        <f>IF(F283&lt;&gt;"weapon","",IF(G283="miscellaneous","1-4",IF(I283="","",IFERROR(VLOOKUP(I283&amp;"|"&amp;IF(LEFT(H283,2)="2H",2,1)&amp;"|"&amp;IF(G283="slashing",1,0),_lookup!$G$3:$H$18,2,FALSE),""))))</f>
        <v/>
      </c>
      <c r="L283">
        <f>IF(K283="","",IF(OR(G283="channeling",G283="infusing"),"Magical",IF(G283="blocking","Anti-Physical",IF(G283="warding","Anti-Magical","Physical"))))</f>
        <v/>
      </c>
      <c r="O283">
        <f>IF(F283&lt;&gt;"armor","","TBD")</f>
        <v/>
      </c>
      <c r="P283">
        <f>IF(O283="","",IF(OR(G283="channeling",G283="infusing"),"Magical",IF(G283="blocking","Anti-Physical",IF(G283="warding","Anti-Magical","Physical"))))</f>
        <v/>
      </c>
    </row>
    <row r="284">
      <c r="J284">
        <f>IF(G284="","",IFERROR(IF(G284="infusing",IFERROR(LOOKUP(2,1/ISNUMBER(SEARCH(_lookup!$D$3:$D$4,H284)),_lookup!$E$3:$E$4),"INT"),VLOOKUP(G284,_lookup!$A$3:$B$14,2,FALSE)),""))</f>
        <v/>
      </c>
      <c r="K284">
        <f>IF(F284&lt;&gt;"weapon","",IF(G284="miscellaneous","1-4",IF(I284="","",IFERROR(VLOOKUP(I284&amp;"|"&amp;IF(LEFT(H284,2)="2H",2,1)&amp;"|"&amp;IF(G284="slashing",1,0),_lookup!$G$3:$H$18,2,FALSE),""))))</f>
        <v/>
      </c>
      <c r="L284">
        <f>IF(K284="","",IF(OR(G284="channeling",G284="infusing"),"Magical",IF(G284="blocking","Anti-Physical",IF(G284="warding","Anti-Magical","Physical"))))</f>
        <v/>
      </c>
      <c r="O284">
        <f>IF(F284&lt;&gt;"armor","","TBD")</f>
        <v/>
      </c>
      <c r="P284">
        <f>IF(O284="","",IF(OR(G284="channeling",G284="infusing"),"Magical",IF(G284="blocking","Anti-Physical",IF(G284="warding","Anti-Magical","Physical"))))</f>
        <v/>
      </c>
    </row>
    <row r="285">
      <c r="J285">
        <f>IF(G285="","",IFERROR(IF(G285="infusing",IFERROR(LOOKUP(2,1/ISNUMBER(SEARCH(_lookup!$D$3:$D$4,H285)),_lookup!$E$3:$E$4),"INT"),VLOOKUP(G285,_lookup!$A$3:$B$14,2,FALSE)),""))</f>
        <v/>
      </c>
      <c r="K285">
        <f>IF(F285&lt;&gt;"weapon","",IF(G285="miscellaneous","1-4",IF(I285="","",IFERROR(VLOOKUP(I285&amp;"|"&amp;IF(LEFT(H285,2)="2H",2,1)&amp;"|"&amp;IF(G285="slashing",1,0),_lookup!$G$3:$H$18,2,FALSE),""))))</f>
        <v/>
      </c>
      <c r="L285">
        <f>IF(K285="","",IF(OR(G285="channeling",G285="infusing"),"Magical",IF(G285="blocking","Anti-Physical",IF(G285="warding","Anti-Magical","Physical"))))</f>
        <v/>
      </c>
      <c r="O285">
        <f>IF(F285&lt;&gt;"armor","","TBD")</f>
        <v/>
      </c>
      <c r="P285">
        <f>IF(O285="","",IF(OR(G285="channeling",G285="infusing"),"Magical",IF(G285="blocking","Anti-Physical",IF(G285="warding","Anti-Magical","Physical"))))</f>
        <v/>
      </c>
    </row>
    <row r="286">
      <c r="J286">
        <f>IF(G286="","",IFERROR(IF(G286="infusing",IFERROR(LOOKUP(2,1/ISNUMBER(SEARCH(_lookup!$D$3:$D$4,H286)),_lookup!$E$3:$E$4),"INT"),VLOOKUP(G286,_lookup!$A$3:$B$14,2,FALSE)),""))</f>
        <v/>
      </c>
      <c r="K286">
        <f>IF(F286&lt;&gt;"weapon","",IF(G286="miscellaneous","1-4",IF(I286="","",IFERROR(VLOOKUP(I286&amp;"|"&amp;IF(LEFT(H286,2)="2H",2,1)&amp;"|"&amp;IF(G286="slashing",1,0),_lookup!$G$3:$H$18,2,FALSE),""))))</f>
        <v/>
      </c>
      <c r="L286">
        <f>IF(K286="","",IF(OR(G286="channeling",G286="infusing"),"Magical",IF(G286="blocking","Anti-Physical",IF(G286="warding","Anti-Magical","Physical"))))</f>
        <v/>
      </c>
      <c r="O286">
        <f>IF(F286&lt;&gt;"armor","","TBD")</f>
        <v/>
      </c>
      <c r="P286">
        <f>IF(O286="","",IF(OR(G286="channeling",G286="infusing"),"Magical",IF(G286="blocking","Anti-Physical",IF(G286="warding","Anti-Magical","Physical"))))</f>
        <v/>
      </c>
    </row>
    <row r="287">
      <c r="J287">
        <f>IF(G287="","",IFERROR(IF(G287="infusing",IFERROR(LOOKUP(2,1/ISNUMBER(SEARCH(_lookup!$D$3:$D$4,H287)),_lookup!$E$3:$E$4),"INT"),VLOOKUP(G287,_lookup!$A$3:$B$14,2,FALSE)),""))</f>
        <v/>
      </c>
      <c r="K287">
        <f>IF(F287&lt;&gt;"weapon","",IF(G287="miscellaneous","1-4",IF(I287="","",IFERROR(VLOOKUP(I287&amp;"|"&amp;IF(LEFT(H287,2)="2H",2,1)&amp;"|"&amp;IF(G287="slashing",1,0),_lookup!$G$3:$H$18,2,FALSE),""))))</f>
        <v/>
      </c>
      <c r="L287">
        <f>IF(K287="","",IF(OR(G287="channeling",G287="infusing"),"Magical",IF(G287="blocking","Anti-Physical",IF(G287="warding","Anti-Magical","Physical"))))</f>
        <v/>
      </c>
      <c r="O287">
        <f>IF(F287&lt;&gt;"armor","","TBD")</f>
        <v/>
      </c>
      <c r="P287">
        <f>IF(O287="","",IF(OR(G287="channeling",G287="infusing"),"Magical",IF(G287="blocking","Anti-Physical",IF(G287="warding","Anti-Magical","Physical"))))</f>
        <v/>
      </c>
    </row>
    <row r="288">
      <c r="J288">
        <f>IF(G288="","",IFERROR(IF(G288="infusing",IFERROR(LOOKUP(2,1/ISNUMBER(SEARCH(_lookup!$D$3:$D$4,H288)),_lookup!$E$3:$E$4),"INT"),VLOOKUP(G288,_lookup!$A$3:$B$14,2,FALSE)),""))</f>
        <v/>
      </c>
      <c r="K288">
        <f>IF(F288&lt;&gt;"weapon","",IF(G288="miscellaneous","1-4",IF(I288="","",IFERROR(VLOOKUP(I288&amp;"|"&amp;IF(LEFT(H288,2)="2H",2,1)&amp;"|"&amp;IF(G288="slashing",1,0),_lookup!$G$3:$H$18,2,FALSE),""))))</f>
        <v/>
      </c>
      <c r="L288">
        <f>IF(K288="","",IF(OR(G288="channeling",G288="infusing"),"Magical",IF(G288="blocking","Anti-Physical",IF(G288="warding","Anti-Magical","Physical"))))</f>
        <v/>
      </c>
      <c r="O288">
        <f>IF(F288&lt;&gt;"armor","","TBD")</f>
        <v/>
      </c>
      <c r="P288">
        <f>IF(O288="","",IF(OR(G288="channeling",G288="infusing"),"Magical",IF(G288="blocking","Anti-Physical",IF(G288="warding","Anti-Magical","Physical"))))</f>
        <v/>
      </c>
    </row>
    <row r="289">
      <c r="J289">
        <f>IF(G289="","",IFERROR(IF(G289="infusing",IFERROR(LOOKUP(2,1/ISNUMBER(SEARCH(_lookup!$D$3:$D$4,H289)),_lookup!$E$3:$E$4),"INT"),VLOOKUP(G289,_lookup!$A$3:$B$14,2,FALSE)),""))</f>
        <v/>
      </c>
      <c r="K289">
        <f>IF(F289&lt;&gt;"weapon","",IF(G289="miscellaneous","1-4",IF(I289="","",IFERROR(VLOOKUP(I289&amp;"|"&amp;IF(LEFT(H289,2)="2H",2,1)&amp;"|"&amp;IF(G289="slashing",1,0),_lookup!$G$3:$H$18,2,FALSE),""))))</f>
        <v/>
      </c>
      <c r="L289">
        <f>IF(K289="","",IF(OR(G289="channeling",G289="infusing"),"Magical",IF(G289="blocking","Anti-Physical",IF(G289="warding","Anti-Magical","Physical"))))</f>
        <v/>
      </c>
      <c r="O289">
        <f>IF(F289&lt;&gt;"armor","","TBD")</f>
        <v/>
      </c>
      <c r="P289">
        <f>IF(O289="","",IF(OR(G289="channeling",G289="infusing"),"Magical",IF(G289="blocking","Anti-Physical",IF(G289="warding","Anti-Magical","Physical"))))</f>
        <v/>
      </c>
    </row>
    <row r="290">
      <c r="J290">
        <f>IF(G290="","",IFERROR(IF(G290="infusing",IFERROR(LOOKUP(2,1/ISNUMBER(SEARCH(_lookup!$D$3:$D$4,H290)),_lookup!$E$3:$E$4),"INT"),VLOOKUP(G290,_lookup!$A$3:$B$14,2,FALSE)),""))</f>
        <v/>
      </c>
      <c r="K290">
        <f>IF(F290&lt;&gt;"weapon","",IF(G290="miscellaneous","1-4",IF(I290="","",IFERROR(VLOOKUP(I290&amp;"|"&amp;IF(LEFT(H290,2)="2H",2,1)&amp;"|"&amp;IF(G290="slashing",1,0),_lookup!$G$3:$H$18,2,FALSE),""))))</f>
        <v/>
      </c>
      <c r="L290">
        <f>IF(K290="","",IF(OR(G290="channeling",G290="infusing"),"Magical",IF(G290="blocking","Anti-Physical",IF(G290="warding","Anti-Magical","Physical"))))</f>
        <v/>
      </c>
      <c r="O290">
        <f>IF(F290&lt;&gt;"armor","","TBD")</f>
        <v/>
      </c>
      <c r="P290">
        <f>IF(O290="","",IF(OR(G290="channeling",G290="infusing"),"Magical",IF(G290="blocking","Anti-Physical",IF(G290="warding","Anti-Magical","Physical"))))</f>
        <v/>
      </c>
    </row>
    <row r="291">
      <c r="J291">
        <f>IF(G291="","",IFERROR(IF(G291="infusing",IFERROR(LOOKUP(2,1/ISNUMBER(SEARCH(_lookup!$D$3:$D$4,H291)),_lookup!$E$3:$E$4),"INT"),VLOOKUP(G291,_lookup!$A$3:$B$14,2,FALSE)),""))</f>
        <v/>
      </c>
      <c r="K291">
        <f>IF(F291&lt;&gt;"weapon","",IF(G291="miscellaneous","1-4",IF(I291="","",IFERROR(VLOOKUP(I291&amp;"|"&amp;IF(LEFT(H291,2)="2H",2,1)&amp;"|"&amp;IF(G291="slashing",1,0),_lookup!$G$3:$H$18,2,FALSE),""))))</f>
        <v/>
      </c>
      <c r="L291">
        <f>IF(K291="","",IF(OR(G291="channeling",G291="infusing"),"Magical",IF(G291="blocking","Anti-Physical",IF(G291="warding","Anti-Magical","Physical"))))</f>
        <v/>
      </c>
      <c r="O291">
        <f>IF(F291&lt;&gt;"armor","","TBD")</f>
        <v/>
      </c>
      <c r="P291">
        <f>IF(O291="","",IF(OR(G291="channeling",G291="infusing"),"Magical",IF(G291="blocking","Anti-Physical",IF(G291="warding","Anti-Magical","Physical"))))</f>
        <v/>
      </c>
    </row>
    <row r="292">
      <c r="J292">
        <f>IF(G292="","",IFERROR(IF(G292="infusing",IFERROR(LOOKUP(2,1/ISNUMBER(SEARCH(_lookup!$D$3:$D$4,H292)),_lookup!$E$3:$E$4),"INT"),VLOOKUP(G292,_lookup!$A$3:$B$14,2,FALSE)),""))</f>
        <v/>
      </c>
      <c r="K292">
        <f>IF(F292&lt;&gt;"weapon","",IF(G292="miscellaneous","1-4",IF(I292="","",IFERROR(VLOOKUP(I292&amp;"|"&amp;IF(LEFT(H292,2)="2H",2,1)&amp;"|"&amp;IF(G292="slashing",1,0),_lookup!$G$3:$H$18,2,FALSE),""))))</f>
        <v/>
      </c>
      <c r="L292">
        <f>IF(K292="","",IF(OR(G292="channeling",G292="infusing"),"Magical",IF(G292="blocking","Anti-Physical",IF(G292="warding","Anti-Magical","Physical"))))</f>
        <v/>
      </c>
      <c r="O292">
        <f>IF(F292&lt;&gt;"armor","","TBD")</f>
        <v/>
      </c>
      <c r="P292">
        <f>IF(O292="","",IF(OR(G292="channeling",G292="infusing"),"Magical",IF(G292="blocking","Anti-Physical",IF(G292="warding","Anti-Magical","Physical"))))</f>
        <v/>
      </c>
    </row>
    <row r="293">
      <c r="J293">
        <f>IF(G293="","",IFERROR(IF(G293="infusing",IFERROR(LOOKUP(2,1/ISNUMBER(SEARCH(_lookup!$D$3:$D$4,H293)),_lookup!$E$3:$E$4),"INT"),VLOOKUP(G293,_lookup!$A$3:$B$14,2,FALSE)),""))</f>
        <v/>
      </c>
      <c r="K293">
        <f>IF(F293&lt;&gt;"weapon","",IF(G293="miscellaneous","1-4",IF(I293="","",IFERROR(VLOOKUP(I293&amp;"|"&amp;IF(LEFT(H293,2)="2H",2,1)&amp;"|"&amp;IF(G293="slashing",1,0),_lookup!$G$3:$H$18,2,FALSE),""))))</f>
        <v/>
      </c>
      <c r="L293">
        <f>IF(K293="","",IF(OR(G293="channeling",G293="infusing"),"Magical",IF(G293="blocking","Anti-Physical",IF(G293="warding","Anti-Magical","Physical"))))</f>
        <v/>
      </c>
      <c r="O293">
        <f>IF(F293&lt;&gt;"armor","","TBD")</f>
        <v/>
      </c>
      <c r="P293">
        <f>IF(O293="","",IF(OR(G293="channeling",G293="infusing"),"Magical",IF(G293="blocking","Anti-Physical",IF(G293="warding","Anti-Magical","Physical"))))</f>
        <v/>
      </c>
    </row>
    <row r="294">
      <c r="J294">
        <f>IF(G294="","",IFERROR(IF(G294="infusing",IFERROR(LOOKUP(2,1/ISNUMBER(SEARCH(_lookup!$D$3:$D$4,H294)),_lookup!$E$3:$E$4),"INT"),VLOOKUP(G294,_lookup!$A$3:$B$14,2,FALSE)),""))</f>
        <v/>
      </c>
      <c r="K294">
        <f>IF(F294&lt;&gt;"weapon","",IF(G294="miscellaneous","1-4",IF(I294="","",IFERROR(VLOOKUP(I294&amp;"|"&amp;IF(LEFT(H294,2)="2H",2,1)&amp;"|"&amp;IF(G294="slashing",1,0),_lookup!$G$3:$H$18,2,FALSE),""))))</f>
        <v/>
      </c>
      <c r="L294">
        <f>IF(K294="","",IF(OR(G294="channeling",G294="infusing"),"Magical",IF(G294="blocking","Anti-Physical",IF(G294="warding","Anti-Magical","Physical"))))</f>
        <v/>
      </c>
      <c r="O294">
        <f>IF(F294&lt;&gt;"armor","","TBD")</f>
        <v/>
      </c>
      <c r="P294">
        <f>IF(O294="","",IF(OR(G294="channeling",G294="infusing"),"Magical",IF(G294="blocking","Anti-Physical",IF(G294="warding","Anti-Magical","Physical"))))</f>
        <v/>
      </c>
    </row>
    <row r="295">
      <c r="J295">
        <f>IF(G295="","",IFERROR(IF(G295="infusing",IFERROR(LOOKUP(2,1/ISNUMBER(SEARCH(_lookup!$D$3:$D$4,H295)),_lookup!$E$3:$E$4),"INT"),VLOOKUP(G295,_lookup!$A$3:$B$14,2,FALSE)),""))</f>
        <v/>
      </c>
      <c r="K295">
        <f>IF(F295&lt;&gt;"weapon","",IF(G295="miscellaneous","1-4",IF(I295="","",IFERROR(VLOOKUP(I295&amp;"|"&amp;IF(LEFT(H295,2)="2H",2,1)&amp;"|"&amp;IF(G295="slashing",1,0),_lookup!$G$3:$H$18,2,FALSE),""))))</f>
        <v/>
      </c>
      <c r="L295">
        <f>IF(K295="","",IF(OR(G295="channeling",G295="infusing"),"Magical",IF(G295="blocking","Anti-Physical",IF(G295="warding","Anti-Magical","Physical"))))</f>
        <v/>
      </c>
      <c r="O295">
        <f>IF(F295&lt;&gt;"armor","","TBD")</f>
        <v/>
      </c>
      <c r="P295">
        <f>IF(O295="","",IF(OR(G295="channeling",G295="infusing"),"Magical",IF(G295="blocking","Anti-Physical",IF(G295="warding","Anti-Magical","Physical"))))</f>
        <v/>
      </c>
    </row>
    <row r="296">
      <c r="J296">
        <f>IF(G296="","",IFERROR(IF(G296="infusing",IFERROR(LOOKUP(2,1/ISNUMBER(SEARCH(_lookup!$D$3:$D$4,H296)),_lookup!$E$3:$E$4),"INT"),VLOOKUP(G296,_lookup!$A$3:$B$14,2,FALSE)),""))</f>
        <v/>
      </c>
      <c r="K296">
        <f>IF(F296&lt;&gt;"weapon","",IF(G296="miscellaneous","1-4",IF(I296="","",IFERROR(VLOOKUP(I296&amp;"|"&amp;IF(LEFT(H296,2)="2H",2,1)&amp;"|"&amp;IF(G296="slashing",1,0),_lookup!$G$3:$H$18,2,FALSE),""))))</f>
        <v/>
      </c>
      <c r="L296">
        <f>IF(K296="","",IF(OR(G296="channeling",G296="infusing"),"Magical",IF(G296="blocking","Anti-Physical",IF(G296="warding","Anti-Magical","Physical"))))</f>
        <v/>
      </c>
      <c r="O296">
        <f>IF(F296&lt;&gt;"armor","","TBD")</f>
        <v/>
      </c>
      <c r="P296">
        <f>IF(O296="","",IF(OR(G296="channeling",G296="infusing"),"Magical",IF(G296="blocking","Anti-Physical",IF(G296="warding","Anti-Magical","Physical"))))</f>
        <v/>
      </c>
    </row>
    <row r="297">
      <c r="J297">
        <f>IF(G297="","",IFERROR(IF(G297="infusing",IFERROR(LOOKUP(2,1/ISNUMBER(SEARCH(_lookup!$D$3:$D$4,H297)),_lookup!$E$3:$E$4),"INT"),VLOOKUP(G297,_lookup!$A$3:$B$14,2,FALSE)),""))</f>
        <v/>
      </c>
      <c r="K297">
        <f>IF(F297&lt;&gt;"weapon","",IF(G297="miscellaneous","1-4",IF(I297="","",IFERROR(VLOOKUP(I297&amp;"|"&amp;IF(LEFT(H297,2)="2H",2,1)&amp;"|"&amp;IF(G297="slashing",1,0),_lookup!$G$3:$H$18,2,FALSE),""))))</f>
        <v/>
      </c>
      <c r="L297">
        <f>IF(K297="","",IF(OR(G297="channeling",G297="infusing"),"Magical",IF(G297="blocking","Anti-Physical",IF(G297="warding","Anti-Magical","Physical"))))</f>
        <v/>
      </c>
      <c r="O297">
        <f>IF(F297&lt;&gt;"armor","","TBD")</f>
        <v/>
      </c>
      <c r="P297">
        <f>IF(O297="","",IF(OR(G297="channeling",G297="infusing"),"Magical",IF(G297="blocking","Anti-Physical",IF(G297="warding","Anti-Magical","Physical"))))</f>
        <v/>
      </c>
    </row>
    <row r="298">
      <c r="J298">
        <f>IF(G298="","",IFERROR(IF(G298="infusing",IFERROR(LOOKUP(2,1/ISNUMBER(SEARCH(_lookup!$D$3:$D$4,H298)),_lookup!$E$3:$E$4),"INT"),VLOOKUP(G298,_lookup!$A$3:$B$14,2,FALSE)),""))</f>
        <v/>
      </c>
      <c r="K298">
        <f>IF(F298&lt;&gt;"weapon","",IF(G298="miscellaneous","1-4",IF(I298="","",IFERROR(VLOOKUP(I298&amp;"|"&amp;IF(LEFT(H298,2)="2H",2,1)&amp;"|"&amp;IF(G298="slashing",1,0),_lookup!$G$3:$H$18,2,FALSE),""))))</f>
        <v/>
      </c>
      <c r="L298">
        <f>IF(K298="","",IF(OR(G298="channeling",G298="infusing"),"Magical",IF(G298="blocking","Anti-Physical",IF(G298="warding","Anti-Magical","Physical"))))</f>
        <v/>
      </c>
      <c r="O298">
        <f>IF(F298&lt;&gt;"armor","","TBD")</f>
        <v/>
      </c>
      <c r="P298">
        <f>IF(O298="","",IF(OR(G298="channeling",G298="infusing"),"Magical",IF(G298="blocking","Anti-Physical",IF(G298="warding","Anti-Magical","Physical"))))</f>
        <v/>
      </c>
    </row>
    <row r="299">
      <c r="J299">
        <f>IF(G299="","",IFERROR(IF(G299="infusing",IFERROR(LOOKUP(2,1/ISNUMBER(SEARCH(_lookup!$D$3:$D$4,H299)),_lookup!$E$3:$E$4),"INT"),VLOOKUP(G299,_lookup!$A$3:$B$14,2,FALSE)),""))</f>
        <v/>
      </c>
      <c r="K299">
        <f>IF(F299&lt;&gt;"weapon","",IF(G299="miscellaneous","1-4",IF(I299="","",IFERROR(VLOOKUP(I299&amp;"|"&amp;IF(LEFT(H299,2)="2H",2,1)&amp;"|"&amp;IF(G299="slashing",1,0),_lookup!$G$3:$H$18,2,FALSE),""))))</f>
        <v/>
      </c>
      <c r="L299">
        <f>IF(K299="","",IF(OR(G299="channeling",G299="infusing"),"Magical",IF(G299="blocking","Anti-Physical",IF(G299="warding","Anti-Magical","Physical"))))</f>
        <v/>
      </c>
      <c r="O299">
        <f>IF(F299&lt;&gt;"armor","","TBD")</f>
        <v/>
      </c>
      <c r="P299">
        <f>IF(O299="","",IF(OR(G299="channeling",G299="infusing"),"Magical",IF(G299="blocking","Anti-Physical",IF(G299="warding","Anti-Magical","Physical"))))</f>
        <v/>
      </c>
    </row>
    <row r="300">
      <c r="J300">
        <f>IF(G300="","",IFERROR(IF(G300="infusing",IFERROR(LOOKUP(2,1/ISNUMBER(SEARCH(_lookup!$D$3:$D$4,H300)),_lookup!$E$3:$E$4),"INT"),VLOOKUP(G300,_lookup!$A$3:$B$14,2,FALSE)),""))</f>
        <v/>
      </c>
      <c r="K300">
        <f>IF(F300&lt;&gt;"weapon","",IF(G300="miscellaneous","1-4",IF(I300="","",IFERROR(VLOOKUP(I300&amp;"|"&amp;IF(LEFT(H300,2)="2H",2,1)&amp;"|"&amp;IF(G300="slashing",1,0),_lookup!$G$3:$H$18,2,FALSE),""))))</f>
        <v/>
      </c>
      <c r="L300">
        <f>IF(K300="","",IF(OR(G300="channeling",G300="infusing"),"Magical",IF(G300="blocking","Anti-Physical",IF(G300="warding","Anti-Magical","Physical"))))</f>
        <v/>
      </c>
      <c r="O300">
        <f>IF(F300&lt;&gt;"armor","","TBD")</f>
        <v/>
      </c>
      <c r="P300">
        <f>IF(O300="","",IF(OR(G300="channeling",G300="infusing"),"Magical",IF(G300="blocking","Anti-Physical",IF(G300="warding","Anti-Magical","Physical"))))</f>
        <v/>
      </c>
    </row>
    <row r="301">
      <c r="J301">
        <f>IF(G301="","",IFERROR(IF(G301="infusing",IFERROR(LOOKUP(2,1/ISNUMBER(SEARCH(_lookup!$D$3:$D$4,H301)),_lookup!$E$3:$E$4),"INT"),VLOOKUP(G301,_lookup!$A$3:$B$14,2,FALSE)),""))</f>
        <v/>
      </c>
      <c r="K301">
        <f>IF(F301&lt;&gt;"weapon","",IF(G301="miscellaneous","1-4",IF(I301="","",IFERROR(VLOOKUP(I301&amp;"|"&amp;IF(LEFT(H301,2)="2H",2,1)&amp;"|"&amp;IF(G301="slashing",1,0),_lookup!$G$3:$H$18,2,FALSE),""))))</f>
        <v/>
      </c>
      <c r="L301">
        <f>IF(K301="","",IF(OR(G301="channeling",G301="infusing"),"Magical",IF(G301="blocking","Anti-Physical",IF(G301="warding","Anti-Magical","Physical"))))</f>
        <v/>
      </c>
      <c r="O301">
        <f>IF(F301&lt;&gt;"armor","","TBD")</f>
        <v/>
      </c>
      <c r="P301">
        <f>IF(O301="","",IF(OR(G301="channeling",G301="infusing"),"Magical",IF(G301="blocking","Anti-Physical",IF(G301="warding","Anti-Magical","Physical"))))</f>
        <v/>
      </c>
    </row>
    <row r="302">
      <c r="J302">
        <f>IF(G302="","",IFERROR(IF(G302="infusing",IFERROR(LOOKUP(2,1/ISNUMBER(SEARCH(_lookup!$D$3:$D$4,H302)),_lookup!$E$3:$E$4),"INT"),VLOOKUP(G302,_lookup!$A$3:$B$14,2,FALSE)),""))</f>
        <v/>
      </c>
      <c r="K302">
        <f>IF(F302&lt;&gt;"weapon","",IF(G302="miscellaneous","1-4",IF(I302="","",IFERROR(VLOOKUP(I302&amp;"|"&amp;IF(LEFT(H302,2)="2H",2,1)&amp;"|"&amp;IF(G302="slashing",1,0),_lookup!$G$3:$H$18,2,FALSE),""))))</f>
        <v/>
      </c>
      <c r="L302">
        <f>IF(K302="","",IF(OR(G302="channeling",G302="infusing"),"Magical",IF(G302="blocking","Anti-Physical",IF(G302="warding","Anti-Magical","Physical"))))</f>
        <v/>
      </c>
      <c r="O302">
        <f>IF(F302&lt;&gt;"armor","","TBD")</f>
        <v/>
      </c>
      <c r="P302">
        <f>IF(O302="","",IF(OR(G302="channeling",G302="infusing"),"Magical",IF(G302="blocking","Anti-Physical",IF(G302="warding","Anti-Magical","Physical"))))</f>
        <v/>
      </c>
    </row>
    <row r="303">
      <c r="J303">
        <f>IF(G303="","",IFERROR(IF(G303="infusing",IFERROR(LOOKUP(2,1/ISNUMBER(SEARCH(_lookup!$D$3:$D$4,H303)),_lookup!$E$3:$E$4),"INT"),VLOOKUP(G303,_lookup!$A$3:$B$14,2,FALSE)),""))</f>
        <v/>
      </c>
      <c r="K303">
        <f>IF(F303&lt;&gt;"weapon","",IF(G303="miscellaneous","1-4",IF(I303="","",IFERROR(VLOOKUP(I303&amp;"|"&amp;IF(LEFT(H303,2)="2H",2,1)&amp;"|"&amp;IF(G303="slashing",1,0),_lookup!$G$3:$H$18,2,FALSE),""))))</f>
        <v/>
      </c>
      <c r="L303">
        <f>IF(K303="","",IF(OR(G303="channeling",G303="infusing"),"Magical",IF(G303="blocking","Anti-Physical",IF(G303="warding","Anti-Magical","Physical"))))</f>
        <v/>
      </c>
      <c r="O303">
        <f>IF(F303&lt;&gt;"armor","","TBD")</f>
        <v/>
      </c>
      <c r="P303">
        <f>IF(O303="","",IF(OR(G303="channeling",G303="infusing"),"Magical",IF(G303="blocking","Anti-Physical",IF(G303="warding","Anti-Magical","Physical"))))</f>
        <v/>
      </c>
    </row>
    <row r="304">
      <c r="J304">
        <f>IF(G304="","",IFERROR(IF(G304="infusing",IFERROR(LOOKUP(2,1/ISNUMBER(SEARCH(_lookup!$D$3:$D$4,H304)),_lookup!$E$3:$E$4),"INT"),VLOOKUP(G304,_lookup!$A$3:$B$14,2,FALSE)),""))</f>
        <v/>
      </c>
      <c r="K304">
        <f>IF(F304&lt;&gt;"weapon","",IF(G304="miscellaneous","1-4",IF(I304="","",IFERROR(VLOOKUP(I304&amp;"|"&amp;IF(LEFT(H304,2)="2H",2,1)&amp;"|"&amp;IF(G304="slashing",1,0),_lookup!$G$3:$H$18,2,FALSE),""))))</f>
        <v/>
      </c>
      <c r="L304">
        <f>IF(K304="","",IF(OR(G304="channeling",G304="infusing"),"Magical",IF(G304="blocking","Anti-Physical",IF(G304="warding","Anti-Magical","Physical"))))</f>
        <v/>
      </c>
      <c r="O304">
        <f>IF(F304&lt;&gt;"armor","","TBD")</f>
        <v/>
      </c>
      <c r="P304">
        <f>IF(O304="","",IF(OR(G304="channeling",G304="infusing"),"Magical",IF(G304="blocking","Anti-Physical",IF(G304="warding","Anti-Magical","Physical"))))</f>
        <v/>
      </c>
    </row>
    <row r="305">
      <c r="J305">
        <f>IF(G305="","",IFERROR(IF(G305="infusing",IFERROR(LOOKUP(2,1/ISNUMBER(SEARCH(_lookup!$D$3:$D$4,H305)),_lookup!$E$3:$E$4),"INT"),VLOOKUP(G305,_lookup!$A$3:$B$14,2,FALSE)),""))</f>
        <v/>
      </c>
      <c r="K305">
        <f>IF(F305&lt;&gt;"weapon","",IF(G305="miscellaneous","1-4",IF(I305="","",IFERROR(VLOOKUP(I305&amp;"|"&amp;IF(LEFT(H305,2)="2H",2,1)&amp;"|"&amp;IF(G305="slashing",1,0),_lookup!$G$3:$H$18,2,FALSE),""))))</f>
        <v/>
      </c>
      <c r="L305">
        <f>IF(K305="","",IF(OR(G305="channeling",G305="infusing"),"Magical",IF(G305="blocking","Anti-Physical",IF(G305="warding","Anti-Magical","Physical"))))</f>
        <v/>
      </c>
      <c r="O305">
        <f>IF(F305&lt;&gt;"armor","","TBD")</f>
        <v/>
      </c>
      <c r="P305">
        <f>IF(O305="","",IF(OR(G305="channeling",G305="infusing"),"Magical",IF(G305="blocking","Anti-Physical",IF(G305="warding","Anti-Magical","Physical"))))</f>
        <v/>
      </c>
    </row>
    <row r="306">
      <c r="J306">
        <f>IF(G306="","",IFERROR(IF(G306="infusing",IFERROR(LOOKUP(2,1/ISNUMBER(SEARCH(_lookup!$D$3:$D$4,H306)),_lookup!$E$3:$E$4),"INT"),VLOOKUP(G306,_lookup!$A$3:$B$14,2,FALSE)),""))</f>
        <v/>
      </c>
      <c r="K306">
        <f>IF(F306&lt;&gt;"weapon","",IF(G306="miscellaneous","1-4",IF(I306="","",IFERROR(VLOOKUP(I306&amp;"|"&amp;IF(LEFT(H306,2)="2H",2,1)&amp;"|"&amp;IF(G306="slashing",1,0),_lookup!$G$3:$H$18,2,FALSE),""))))</f>
        <v/>
      </c>
      <c r="L306">
        <f>IF(K306="","",IF(OR(G306="channeling",G306="infusing"),"Magical",IF(G306="blocking","Anti-Physical",IF(G306="warding","Anti-Magical","Physical"))))</f>
        <v/>
      </c>
      <c r="O306">
        <f>IF(F306&lt;&gt;"armor","","TBD")</f>
        <v/>
      </c>
      <c r="P306">
        <f>IF(O306="","",IF(OR(G306="channeling",G306="infusing"),"Magical",IF(G306="blocking","Anti-Physical",IF(G306="warding","Anti-Magical","Physical"))))</f>
        <v/>
      </c>
    </row>
    <row r="307">
      <c r="J307">
        <f>IF(G307="","",IFERROR(IF(G307="infusing",IFERROR(LOOKUP(2,1/ISNUMBER(SEARCH(_lookup!$D$3:$D$4,H307)),_lookup!$E$3:$E$4),"INT"),VLOOKUP(G307,_lookup!$A$3:$B$14,2,FALSE)),""))</f>
        <v/>
      </c>
      <c r="K307">
        <f>IF(F307&lt;&gt;"weapon","",IF(G307="miscellaneous","1-4",IF(I307="","",IFERROR(VLOOKUP(I307&amp;"|"&amp;IF(LEFT(H307,2)="2H",2,1)&amp;"|"&amp;IF(G307="slashing",1,0),_lookup!$G$3:$H$18,2,FALSE),""))))</f>
        <v/>
      </c>
      <c r="L307">
        <f>IF(K307="","",IF(OR(G307="channeling",G307="infusing"),"Magical",IF(G307="blocking","Anti-Physical",IF(G307="warding","Anti-Magical","Physical"))))</f>
        <v/>
      </c>
      <c r="O307">
        <f>IF(F307&lt;&gt;"armor","","TBD")</f>
        <v/>
      </c>
      <c r="P307">
        <f>IF(O307="","",IF(OR(G307="channeling",G307="infusing"),"Magical",IF(G307="blocking","Anti-Physical",IF(G307="warding","Anti-Magical","Physical"))))</f>
        <v/>
      </c>
    </row>
    <row r="308">
      <c r="J308">
        <f>IF(G308="","",IFERROR(IF(G308="infusing",IFERROR(LOOKUP(2,1/ISNUMBER(SEARCH(_lookup!$D$3:$D$4,H308)),_lookup!$E$3:$E$4),"INT"),VLOOKUP(G308,_lookup!$A$3:$B$14,2,FALSE)),""))</f>
        <v/>
      </c>
      <c r="K308">
        <f>IF(F308&lt;&gt;"weapon","",IF(G308="miscellaneous","1-4",IF(I308="","",IFERROR(VLOOKUP(I308&amp;"|"&amp;IF(LEFT(H308,2)="2H",2,1)&amp;"|"&amp;IF(G308="slashing",1,0),_lookup!$G$3:$H$18,2,FALSE),""))))</f>
        <v/>
      </c>
      <c r="L308">
        <f>IF(K308="","",IF(OR(G308="channeling",G308="infusing"),"Magical",IF(G308="blocking","Anti-Physical",IF(G308="warding","Anti-Magical","Physical"))))</f>
        <v/>
      </c>
      <c r="O308">
        <f>IF(F308&lt;&gt;"armor","","TBD")</f>
        <v/>
      </c>
      <c r="P308">
        <f>IF(O308="","",IF(OR(G308="channeling",G308="infusing"),"Magical",IF(G308="blocking","Anti-Physical",IF(G308="warding","Anti-Magical","Physical"))))</f>
        <v/>
      </c>
    </row>
    <row r="309">
      <c r="J309">
        <f>IF(G309="","",IFERROR(IF(G309="infusing",IFERROR(LOOKUP(2,1/ISNUMBER(SEARCH(_lookup!$D$3:$D$4,H309)),_lookup!$E$3:$E$4),"INT"),VLOOKUP(G309,_lookup!$A$3:$B$14,2,FALSE)),""))</f>
        <v/>
      </c>
      <c r="K309">
        <f>IF(F309&lt;&gt;"weapon","",IF(G309="miscellaneous","1-4",IF(I309="","",IFERROR(VLOOKUP(I309&amp;"|"&amp;IF(LEFT(H309,2)="2H",2,1)&amp;"|"&amp;IF(G309="slashing",1,0),_lookup!$G$3:$H$18,2,FALSE),""))))</f>
        <v/>
      </c>
      <c r="L309">
        <f>IF(K309="","",IF(OR(G309="channeling",G309="infusing"),"Magical",IF(G309="blocking","Anti-Physical",IF(G309="warding","Anti-Magical","Physical"))))</f>
        <v/>
      </c>
      <c r="O309">
        <f>IF(F309&lt;&gt;"armor","","TBD")</f>
        <v/>
      </c>
      <c r="P309">
        <f>IF(O309="","",IF(OR(G309="channeling",G309="infusing"),"Magical",IF(G309="blocking","Anti-Physical",IF(G309="warding","Anti-Magical","Physical"))))</f>
        <v/>
      </c>
    </row>
    <row r="310">
      <c r="J310">
        <f>IF(G310="","",IFERROR(IF(G310="infusing",IFERROR(LOOKUP(2,1/ISNUMBER(SEARCH(_lookup!$D$3:$D$4,H310)),_lookup!$E$3:$E$4),"INT"),VLOOKUP(G310,_lookup!$A$3:$B$14,2,FALSE)),""))</f>
        <v/>
      </c>
      <c r="K310">
        <f>IF(F310&lt;&gt;"weapon","",IF(G310="miscellaneous","1-4",IF(I310="","",IFERROR(VLOOKUP(I310&amp;"|"&amp;IF(LEFT(H310,2)="2H",2,1)&amp;"|"&amp;IF(G310="slashing",1,0),_lookup!$G$3:$H$18,2,FALSE),""))))</f>
        <v/>
      </c>
      <c r="L310">
        <f>IF(K310="","",IF(OR(G310="channeling",G310="infusing"),"Magical",IF(G310="blocking","Anti-Physical",IF(G310="warding","Anti-Magical","Physical"))))</f>
        <v/>
      </c>
      <c r="O310">
        <f>IF(F310&lt;&gt;"armor","","TBD")</f>
        <v/>
      </c>
      <c r="P310">
        <f>IF(O310="","",IF(OR(G310="channeling",G310="infusing"),"Magical",IF(G310="blocking","Anti-Physical",IF(G310="warding","Anti-Magical","Physical"))))</f>
        <v/>
      </c>
    </row>
    <row r="311">
      <c r="J311">
        <f>IF(G311="","",IFERROR(IF(G311="infusing",IFERROR(LOOKUP(2,1/ISNUMBER(SEARCH(_lookup!$D$3:$D$4,H311)),_lookup!$E$3:$E$4),"INT"),VLOOKUP(G311,_lookup!$A$3:$B$14,2,FALSE)),""))</f>
        <v/>
      </c>
      <c r="K311">
        <f>IF(F311&lt;&gt;"weapon","",IF(G311="miscellaneous","1-4",IF(I311="","",IFERROR(VLOOKUP(I311&amp;"|"&amp;IF(LEFT(H311,2)="2H",2,1)&amp;"|"&amp;IF(G311="slashing",1,0),_lookup!$G$3:$H$18,2,FALSE),""))))</f>
        <v/>
      </c>
      <c r="L311">
        <f>IF(K311="","",IF(OR(G311="channeling",G311="infusing"),"Magical",IF(G311="blocking","Anti-Physical",IF(G311="warding","Anti-Magical","Physical"))))</f>
        <v/>
      </c>
      <c r="O311">
        <f>IF(F311&lt;&gt;"armor","","TBD")</f>
        <v/>
      </c>
      <c r="P311">
        <f>IF(O311="","",IF(OR(G311="channeling",G311="infusing"),"Magical",IF(G311="blocking","Anti-Physical",IF(G311="warding","Anti-Magical","Physical"))))</f>
        <v/>
      </c>
    </row>
    <row r="312">
      <c r="J312">
        <f>IF(G312="","",IFERROR(IF(G312="infusing",IFERROR(LOOKUP(2,1/ISNUMBER(SEARCH(_lookup!$D$3:$D$4,H312)),_lookup!$E$3:$E$4),"INT"),VLOOKUP(G312,_lookup!$A$3:$B$14,2,FALSE)),""))</f>
        <v/>
      </c>
      <c r="K312">
        <f>IF(F312&lt;&gt;"weapon","",IF(G312="miscellaneous","1-4",IF(I312="","",IFERROR(VLOOKUP(I312&amp;"|"&amp;IF(LEFT(H312,2)="2H",2,1)&amp;"|"&amp;IF(G312="slashing",1,0),_lookup!$G$3:$H$18,2,FALSE),""))))</f>
        <v/>
      </c>
      <c r="L312">
        <f>IF(K312="","",IF(OR(G312="channeling",G312="infusing"),"Magical",IF(G312="blocking","Anti-Physical",IF(G312="warding","Anti-Magical","Physical"))))</f>
        <v/>
      </c>
      <c r="O312">
        <f>IF(F312&lt;&gt;"armor","","TBD")</f>
        <v/>
      </c>
      <c r="P312">
        <f>IF(O312="","",IF(OR(G312="channeling",G312="infusing"),"Magical",IF(G312="blocking","Anti-Physical",IF(G312="warding","Anti-Magical","Physical"))))</f>
        <v/>
      </c>
    </row>
    <row r="313">
      <c r="J313">
        <f>IF(G313="","",IFERROR(IF(G313="infusing",IFERROR(LOOKUP(2,1/ISNUMBER(SEARCH(_lookup!$D$3:$D$4,H313)),_lookup!$E$3:$E$4),"INT"),VLOOKUP(G313,_lookup!$A$3:$B$14,2,FALSE)),""))</f>
        <v/>
      </c>
      <c r="K313">
        <f>IF(F313&lt;&gt;"weapon","",IF(G313="miscellaneous","1-4",IF(I313="","",IFERROR(VLOOKUP(I313&amp;"|"&amp;IF(LEFT(H313,2)="2H",2,1)&amp;"|"&amp;IF(G313="slashing",1,0),_lookup!$G$3:$H$18,2,FALSE),""))))</f>
        <v/>
      </c>
      <c r="L313">
        <f>IF(K313="","",IF(OR(G313="channeling",G313="infusing"),"Magical",IF(G313="blocking","Anti-Physical",IF(G313="warding","Anti-Magical","Physical"))))</f>
        <v/>
      </c>
      <c r="O313">
        <f>IF(F313&lt;&gt;"armor","","TBD")</f>
        <v/>
      </c>
      <c r="P313">
        <f>IF(O313="","",IF(OR(G313="channeling",G313="infusing"),"Magical",IF(G313="blocking","Anti-Physical",IF(G313="warding","Anti-Magical","Physical"))))</f>
        <v/>
      </c>
    </row>
    <row r="314">
      <c r="J314">
        <f>IF(G314="","",IFERROR(IF(G314="infusing",IFERROR(LOOKUP(2,1/ISNUMBER(SEARCH(_lookup!$D$3:$D$4,H314)),_lookup!$E$3:$E$4),"INT"),VLOOKUP(G314,_lookup!$A$3:$B$14,2,FALSE)),""))</f>
        <v/>
      </c>
      <c r="K314">
        <f>IF(F314&lt;&gt;"weapon","",IF(G314="miscellaneous","1-4",IF(I314="","",IFERROR(VLOOKUP(I314&amp;"|"&amp;IF(LEFT(H314,2)="2H",2,1)&amp;"|"&amp;IF(G314="slashing",1,0),_lookup!$G$3:$H$18,2,FALSE),""))))</f>
        <v/>
      </c>
      <c r="L314">
        <f>IF(K314="","",IF(OR(G314="channeling",G314="infusing"),"Magical",IF(G314="blocking","Anti-Physical",IF(G314="warding","Anti-Magical","Physical"))))</f>
        <v/>
      </c>
      <c r="O314">
        <f>IF(F314&lt;&gt;"armor","","TBD")</f>
        <v/>
      </c>
      <c r="P314">
        <f>IF(O314="","",IF(OR(G314="channeling",G314="infusing"),"Magical",IF(G314="blocking","Anti-Physical",IF(G314="warding","Anti-Magical","Physical"))))</f>
        <v/>
      </c>
    </row>
    <row r="315">
      <c r="J315">
        <f>IF(G315="","",IFERROR(IF(G315="infusing",IFERROR(LOOKUP(2,1/ISNUMBER(SEARCH(_lookup!$D$3:$D$4,H315)),_lookup!$E$3:$E$4),"INT"),VLOOKUP(G315,_lookup!$A$3:$B$14,2,FALSE)),""))</f>
        <v/>
      </c>
      <c r="K315">
        <f>IF(F315&lt;&gt;"weapon","",IF(G315="miscellaneous","1-4",IF(I315="","",IFERROR(VLOOKUP(I315&amp;"|"&amp;IF(LEFT(H315,2)="2H",2,1)&amp;"|"&amp;IF(G315="slashing",1,0),_lookup!$G$3:$H$18,2,FALSE),""))))</f>
        <v/>
      </c>
      <c r="L315">
        <f>IF(K315="","",IF(OR(G315="channeling",G315="infusing"),"Magical",IF(G315="blocking","Anti-Physical",IF(G315="warding","Anti-Magical","Physical"))))</f>
        <v/>
      </c>
      <c r="O315">
        <f>IF(F315&lt;&gt;"armor","","TBD")</f>
        <v/>
      </c>
      <c r="P315">
        <f>IF(O315="","",IF(OR(G315="channeling",G315="infusing"),"Magical",IF(G315="blocking","Anti-Physical",IF(G315="warding","Anti-Magical","Physical"))))</f>
        <v/>
      </c>
    </row>
    <row r="316">
      <c r="J316">
        <f>IF(G316="","",IFERROR(IF(G316="infusing",IFERROR(LOOKUP(2,1/ISNUMBER(SEARCH(_lookup!$D$3:$D$4,H316)),_lookup!$E$3:$E$4),"INT"),VLOOKUP(G316,_lookup!$A$3:$B$14,2,FALSE)),""))</f>
        <v/>
      </c>
      <c r="K316">
        <f>IF(F316&lt;&gt;"weapon","",IF(G316="miscellaneous","1-4",IF(I316="","",IFERROR(VLOOKUP(I316&amp;"|"&amp;IF(LEFT(H316,2)="2H",2,1)&amp;"|"&amp;IF(G316="slashing",1,0),_lookup!$G$3:$H$18,2,FALSE),""))))</f>
        <v/>
      </c>
      <c r="L316">
        <f>IF(K316="","",IF(OR(G316="channeling",G316="infusing"),"Magical",IF(G316="blocking","Anti-Physical",IF(G316="warding","Anti-Magical","Physical"))))</f>
        <v/>
      </c>
      <c r="O316">
        <f>IF(F316&lt;&gt;"armor","","TBD")</f>
        <v/>
      </c>
      <c r="P316">
        <f>IF(O316="","",IF(OR(G316="channeling",G316="infusing"),"Magical",IF(G316="blocking","Anti-Physical",IF(G316="warding","Anti-Magical","Physical"))))</f>
        <v/>
      </c>
    </row>
    <row r="317">
      <c r="J317">
        <f>IF(G317="","",IFERROR(IF(G317="infusing",IFERROR(LOOKUP(2,1/ISNUMBER(SEARCH(_lookup!$D$3:$D$4,H317)),_lookup!$E$3:$E$4),"INT"),VLOOKUP(G317,_lookup!$A$3:$B$14,2,FALSE)),""))</f>
        <v/>
      </c>
      <c r="K317">
        <f>IF(F317&lt;&gt;"weapon","",IF(G317="miscellaneous","1-4",IF(I317="","",IFERROR(VLOOKUP(I317&amp;"|"&amp;IF(LEFT(H317,2)="2H",2,1)&amp;"|"&amp;IF(G317="slashing",1,0),_lookup!$G$3:$H$18,2,FALSE),""))))</f>
        <v/>
      </c>
      <c r="L317">
        <f>IF(K317="","",IF(OR(G317="channeling",G317="infusing"),"Magical",IF(G317="blocking","Anti-Physical",IF(G317="warding","Anti-Magical","Physical"))))</f>
        <v/>
      </c>
      <c r="O317">
        <f>IF(F317&lt;&gt;"armor","","TBD")</f>
        <v/>
      </c>
      <c r="P317">
        <f>IF(O317="","",IF(OR(G317="channeling",G317="infusing"),"Magical",IF(G317="blocking","Anti-Physical",IF(G317="warding","Anti-Magical","Physical"))))</f>
        <v/>
      </c>
    </row>
    <row r="318">
      <c r="J318">
        <f>IF(G318="","",IFERROR(IF(G318="infusing",IFERROR(LOOKUP(2,1/ISNUMBER(SEARCH(_lookup!$D$3:$D$4,H318)),_lookup!$E$3:$E$4),"INT"),VLOOKUP(G318,_lookup!$A$3:$B$14,2,FALSE)),""))</f>
        <v/>
      </c>
      <c r="K318">
        <f>IF(F318&lt;&gt;"weapon","",IF(G318="miscellaneous","1-4",IF(I318="","",IFERROR(VLOOKUP(I318&amp;"|"&amp;IF(LEFT(H318,2)="2H",2,1)&amp;"|"&amp;IF(G318="slashing",1,0),_lookup!$G$3:$H$18,2,FALSE),""))))</f>
        <v/>
      </c>
      <c r="L318">
        <f>IF(K318="","",IF(OR(G318="channeling",G318="infusing"),"Magical",IF(G318="blocking","Anti-Physical",IF(G318="warding","Anti-Magical","Physical"))))</f>
        <v/>
      </c>
      <c r="O318">
        <f>IF(F318&lt;&gt;"armor","","TBD")</f>
        <v/>
      </c>
      <c r="P318">
        <f>IF(O318="","",IF(OR(G318="channeling",G318="infusing"),"Magical",IF(G318="blocking","Anti-Physical",IF(G318="warding","Anti-Magical","Physical"))))</f>
        <v/>
      </c>
    </row>
    <row r="319">
      <c r="J319">
        <f>IF(G319="","",IFERROR(IF(G319="infusing",IFERROR(LOOKUP(2,1/ISNUMBER(SEARCH(_lookup!$D$3:$D$4,H319)),_lookup!$E$3:$E$4),"INT"),VLOOKUP(G319,_lookup!$A$3:$B$14,2,FALSE)),""))</f>
        <v/>
      </c>
      <c r="K319">
        <f>IF(F319&lt;&gt;"weapon","",IF(G319="miscellaneous","1-4",IF(I319="","",IFERROR(VLOOKUP(I319&amp;"|"&amp;IF(LEFT(H319,2)="2H",2,1)&amp;"|"&amp;IF(G319="slashing",1,0),_lookup!$G$3:$H$18,2,FALSE),""))))</f>
        <v/>
      </c>
      <c r="L319">
        <f>IF(K319="","",IF(OR(G319="channeling",G319="infusing"),"Magical",IF(G319="blocking","Anti-Physical",IF(G319="warding","Anti-Magical","Physical"))))</f>
        <v/>
      </c>
      <c r="O319">
        <f>IF(F319&lt;&gt;"armor","","TBD")</f>
        <v/>
      </c>
      <c r="P319">
        <f>IF(O319="","",IF(OR(G319="channeling",G319="infusing"),"Magical",IF(G319="blocking","Anti-Physical",IF(G319="warding","Anti-Magical","Physical"))))</f>
        <v/>
      </c>
    </row>
    <row r="320">
      <c r="J320">
        <f>IF(G320="","",IFERROR(IF(G320="infusing",IFERROR(LOOKUP(2,1/ISNUMBER(SEARCH(_lookup!$D$3:$D$4,H320)),_lookup!$E$3:$E$4),"INT"),VLOOKUP(G320,_lookup!$A$3:$B$14,2,FALSE)),""))</f>
        <v/>
      </c>
      <c r="K320">
        <f>IF(F320&lt;&gt;"weapon","",IF(G320="miscellaneous","1-4",IF(I320="","",IFERROR(VLOOKUP(I320&amp;"|"&amp;IF(LEFT(H320,2)="2H",2,1)&amp;"|"&amp;IF(G320="slashing",1,0),_lookup!$G$3:$H$18,2,FALSE),""))))</f>
        <v/>
      </c>
      <c r="L320">
        <f>IF(K320="","",IF(OR(G320="channeling",G320="infusing"),"Magical",IF(G320="blocking","Anti-Physical",IF(G320="warding","Anti-Magical","Physical"))))</f>
        <v/>
      </c>
      <c r="O320">
        <f>IF(F320&lt;&gt;"armor","","TBD")</f>
        <v/>
      </c>
      <c r="P320">
        <f>IF(O320="","",IF(OR(G320="channeling",G320="infusing"),"Magical",IF(G320="blocking","Anti-Physical",IF(G320="warding","Anti-Magical","Physical"))))</f>
        <v/>
      </c>
    </row>
    <row r="321">
      <c r="J321">
        <f>IF(G321="","",IFERROR(IF(G321="infusing",IFERROR(LOOKUP(2,1/ISNUMBER(SEARCH(_lookup!$D$3:$D$4,H321)),_lookup!$E$3:$E$4),"INT"),VLOOKUP(G321,_lookup!$A$3:$B$14,2,FALSE)),""))</f>
        <v/>
      </c>
      <c r="K321">
        <f>IF(F321&lt;&gt;"weapon","",IF(G321="miscellaneous","1-4",IF(I321="","",IFERROR(VLOOKUP(I321&amp;"|"&amp;IF(LEFT(H321,2)="2H",2,1)&amp;"|"&amp;IF(G321="slashing",1,0),_lookup!$G$3:$H$18,2,FALSE),""))))</f>
        <v/>
      </c>
      <c r="L321">
        <f>IF(K321="","",IF(OR(G321="channeling",G321="infusing"),"Magical",IF(G321="blocking","Anti-Physical",IF(G321="warding","Anti-Magical","Physical"))))</f>
        <v/>
      </c>
      <c r="O321">
        <f>IF(F321&lt;&gt;"armor","","TBD")</f>
        <v/>
      </c>
      <c r="P321">
        <f>IF(O321="","",IF(OR(G321="channeling",G321="infusing"),"Magical",IF(G321="blocking","Anti-Physical",IF(G321="warding","Anti-Magical","Physical"))))</f>
        <v/>
      </c>
    </row>
    <row r="322">
      <c r="J322">
        <f>IF(G322="","",IFERROR(IF(G322="infusing",IFERROR(LOOKUP(2,1/ISNUMBER(SEARCH(_lookup!$D$3:$D$4,H322)),_lookup!$E$3:$E$4),"INT"),VLOOKUP(G322,_lookup!$A$3:$B$14,2,FALSE)),""))</f>
        <v/>
      </c>
      <c r="K322">
        <f>IF(F322&lt;&gt;"weapon","",IF(G322="miscellaneous","1-4",IF(I322="","",IFERROR(VLOOKUP(I322&amp;"|"&amp;IF(LEFT(H322,2)="2H",2,1)&amp;"|"&amp;IF(G322="slashing",1,0),_lookup!$G$3:$H$18,2,FALSE),""))))</f>
        <v/>
      </c>
      <c r="L322">
        <f>IF(K322="","",IF(OR(G322="channeling",G322="infusing"),"Magical",IF(G322="blocking","Anti-Physical",IF(G322="warding","Anti-Magical","Physical"))))</f>
        <v/>
      </c>
      <c r="O322">
        <f>IF(F322&lt;&gt;"armor","","TBD")</f>
        <v/>
      </c>
      <c r="P322">
        <f>IF(O322="","",IF(OR(G322="channeling",G322="infusing"),"Magical",IF(G322="blocking","Anti-Physical",IF(G322="warding","Anti-Magical","Physical"))))</f>
        <v/>
      </c>
    </row>
    <row r="323">
      <c r="J323">
        <f>IF(G323="","",IFERROR(IF(G323="infusing",IFERROR(LOOKUP(2,1/ISNUMBER(SEARCH(_lookup!$D$3:$D$4,H323)),_lookup!$E$3:$E$4),"INT"),VLOOKUP(G323,_lookup!$A$3:$B$14,2,FALSE)),""))</f>
        <v/>
      </c>
      <c r="K323">
        <f>IF(F323&lt;&gt;"weapon","",IF(G323="miscellaneous","1-4",IF(I323="","",IFERROR(VLOOKUP(I323&amp;"|"&amp;IF(LEFT(H323,2)="2H",2,1)&amp;"|"&amp;IF(G323="slashing",1,0),_lookup!$G$3:$H$18,2,FALSE),""))))</f>
        <v/>
      </c>
      <c r="L323">
        <f>IF(K323="","",IF(OR(G323="channeling",G323="infusing"),"Magical",IF(G323="blocking","Anti-Physical",IF(G323="warding","Anti-Magical","Physical"))))</f>
        <v/>
      </c>
      <c r="O323">
        <f>IF(F323&lt;&gt;"armor","","TBD")</f>
        <v/>
      </c>
      <c r="P323">
        <f>IF(O323="","",IF(OR(G323="channeling",G323="infusing"),"Magical",IF(G323="blocking","Anti-Physical",IF(G323="warding","Anti-Magical","Physical"))))</f>
        <v/>
      </c>
    </row>
    <row r="324">
      <c r="J324">
        <f>IF(G324="","",IFERROR(IF(G324="infusing",IFERROR(LOOKUP(2,1/ISNUMBER(SEARCH(_lookup!$D$3:$D$4,H324)),_lookup!$E$3:$E$4),"INT"),VLOOKUP(G324,_lookup!$A$3:$B$14,2,FALSE)),""))</f>
        <v/>
      </c>
      <c r="K324">
        <f>IF(F324&lt;&gt;"weapon","",IF(G324="miscellaneous","1-4",IF(I324="","",IFERROR(VLOOKUP(I324&amp;"|"&amp;IF(LEFT(H324,2)="2H",2,1)&amp;"|"&amp;IF(G324="slashing",1,0),_lookup!$G$3:$H$18,2,FALSE),""))))</f>
        <v/>
      </c>
      <c r="L324">
        <f>IF(K324="","",IF(OR(G324="channeling",G324="infusing"),"Magical",IF(G324="blocking","Anti-Physical",IF(G324="warding","Anti-Magical","Physical"))))</f>
        <v/>
      </c>
      <c r="O324">
        <f>IF(F324&lt;&gt;"armor","","TBD")</f>
        <v/>
      </c>
      <c r="P324">
        <f>IF(O324="","",IF(OR(G324="channeling",G324="infusing"),"Magical",IF(G324="blocking","Anti-Physical",IF(G324="warding","Anti-Magical","Physical"))))</f>
        <v/>
      </c>
    </row>
    <row r="325">
      <c r="J325">
        <f>IF(G325="","",IFERROR(IF(G325="infusing",IFERROR(LOOKUP(2,1/ISNUMBER(SEARCH(_lookup!$D$3:$D$4,H325)),_lookup!$E$3:$E$4),"INT"),VLOOKUP(G325,_lookup!$A$3:$B$14,2,FALSE)),""))</f>
        <v/>
      </c>
      <c r="K325">
        <f>IF(F325&lt;&gt;"weapon","",IF(G325="miscellaneous","1-4",IF(I325="","",IFERROR(VLOOKUP(I325&amp;"|"&amp;IF(LEFT(H325,2)="2H",2,1)&amp;"|"&amp;IF(G325="slashing",1,0),_lookup!$G$3:$H$18,2,FALSE),""))))</f>
        <v/>
      </c>
      <c r="L325">
        <f>IF(K325="","",IF(OR(G325="channeling",G325="infusing"),"Magical",IF(G325="blocking","Anti-Physical",IF(G325="warding","Anti-Magical","Physical"))))</f>
        <v/>
      </c>
      <c r="O325">
        <f>IF(F325&lt;&gt;"armor","","TBD")</f>
        <v/>
      </c>
      <c r="P325">
        <f>IF(O325="","",IF(OR(G325="channeling",G325="infusing"),"Magical",IF(G325="blocking","Anti-Physical",IF(G325="warding","Anti-Magical","Physical"))))</f>
        <v/>
      </c>
    </row>
    <row r="326">
      <c r="J326">
        <f>IF(G326="","",IFERROR(IF(G326="infusing",IFERROR(LOOKUP(2,1/ISNUMBER(SEARCH(_lookup!$D$3:$D$4,H326)),_lookup!$E$3:$E$4),"INT"),VLOOKUP(G326,_lookup!$A$3:$B$14,2,FALSE)),""))</f>
        <v/>
      </c>
      <c r="K326">
        <f>IF(F326&lt;&gt;"weapon","",IF(G326="miscellaneous","1-4",IF(I326="","",IFERROR(VLOOKUP(I326&amp;"|"&amp;IF(LEFT(H326,2)="2H",2,1)&amp;"|"&amp;IF(G326="slashing",1,0),_lookup!$G$3:$H$18,2,FALSE),""))))</f>
        <v/>
      </c>
      <c r="L326">
        <f>IF(K326="","",IF(OR(G326="channeling",G326="infusing"),"Magical",IF(G326="blocking","Anti-Physical",IF(G326="warding","Anti-Magical","Physical"))))</f>
        <v/>
      </c>
      <c r="O326">
        <f>IF(F326&lt;&gt;"armor","","TBD")</f>
        <v/>
      </c>
      <c r="P326">
        <f>IF(O326="","",IF(OR(G326="channeling",G326="infusing"),"Magical",IF(G326="blocking","Anti-Physical",IF(G326="warding","Anti-Magical","Physical"))))</f>
        <v/>
      </c>
    </row>
    <row r="327">
      <c r="J327">
        <f>IF(G327="","",IFERROR(IF(G327="infusing",IFERROR(LOOKUP(2,1/ISNUMBER(SEARCH(_lookup!$D$3:$D$4,H327)),_lookup!$E$3:$E$4),"INT"),VLOOKUP(G327,_lookup!$A$3:$B$14,2,FALSE)),""))</f>
        <v/>
      </c>
      <c r="K327">
        <f>IF(F327&lt;&gt;"weapon","",IF(G327="miscellaneous","1-4",IF(I327="","",IFERROR(VLOOKUP(I327&amp;"|"&amp;IF(LEFT(H327,2)="2H",2,1)&amp;"|"&amp;IF(G327="slashing",1,0),_lookup!$G$3:$H$18,2,FALSE),""))))</f>
        <v/>
      </c>
      <c r="L327">
        <f>IF(K327="","",IF(OR(G327="channeling",G327="infusing"),"Magical",IF(G327="blocking","Anti-Physical",IF(G327="warding","Anti-Magical","Physical"))))</f>
        <v/>
      </c>
      <c r="O327">
        <f>IF(F327&lt;&gt;"armor","","TBD")</f>
        <v/>
      </c>
      <c r="P327">
        <f>IF(O327="","",IF(OR(G327="channeling",G327="infusing"),"Magical",IF(G327="blocking","Anti-Physical",IF(G327="warding","Anti-Magical","Physical"))))</f>
        <v/>
      </c>
    </row>
    <row r="328">
      <c r="J328">
        <f>IF(G328="","",IFERROR(IF(G328="infusing",IFERROR(LOOKUP(2,1/ISNUMBER(SEARCH(_lookup!$D$3:$D$4,H328)),_lookup!$E$3:$E$4),"INT"),VLOOKUP(G328,_lookup!$A$3:$B$14,2,FALSE)),""))</f>
        <v/>
      </c>
      <c r="K328">
        <f>IF(F328&lt;&gt;"weapon","",IF(G328="miscellaneous","1-4",IF(I328="","",IFERROR(VLOOKUP(I328&amp;"|"&amp;IF(LEFT(H328,2)="2H",2,1)&amp;"|"&amp;IF(G328="slashing",1,0),_lookup!$G$3:$H$18,2,FALSE),""))))</f>
        <v/>
      </c>
      <c r="L328">
        <f>IF(K328="","",IF(OR(G328="channeling",G328="infusing"),"Magical",IF(G328="blocking","Anti-Physical",IF(G328="warding","Anti-Magical","Physical"))))</f>
        <v/>
      </c>
      <c r="O328">
        <f>IF(F328&lt;&gt;"armor","","TBD")</f>
        <v/>
      </c>
      <c r="P328">
        <f>IF(O328="","",IF(OR(G328="channeling",G328="infusing"),"Magical",IF(G328="blocking","Anti-Physical",IF(G328="warding","Anti-Magical","Physical"))))</f>
        <v/>
      </c>
    </row>
    <row r="329">
      <c r="J329">
        <f>IF(G329="","",IFERROR(IF(G329="infusing",IFERROR(LOOKUP(2,1/ISNUMBER(SEARCH(_lookup!$D$3:$D$4,H329)),_lookup!$E$3:$E$4),"INT"),VLOOKUP(G329,_lookup!$A$3:$B$14,2,FALSE)),""))</f>
        <v/>
      </c>
      <c r="K329">
        <f>IF(F329&lt;&gt;"weapon","",IF(G329="miscellaneous","1-4",IF(I329="","",IFERROR(VLOOKUP(I329&amp;"|"&amp;IF(LEFT(H329,2)="2H",2,1)&amp;"|"&amp;IF(G329="slashing",1,0),_lookup!$G$3:$H$18,2,FALSE),""))))</f>
        <v/>
      </c>
      <c r="L329">
        <f>IF(K329="","",IF(OR(G329="channeling",G329="infusing"),"Magical",IF(G329="blocking","Anti-Physical",IF(G329="warding","Anti-Magical","Physical"))))</f>
        <v/>
      </c>
      <c r="O329">
        <f>IF(F329&lt;&gt;"armor","","TBD")</f>
        <v/>
      </c>
      <c r="P329">
        <f>IF(O329="","",IF(OR(G329="channeling",G329="infusing"),"Magical",IF(G329="blocking","Anti-Physical",IF(G329="warding","Anti-Magical","Physical"))))</f>
        <v/>
      </c>
    </row>
    <row r="330">
      <c r="J330">
        <f>IF(G330="","",IFERROR(IF(G330="infusing",IFERROR(LOOKUP(2,1/ISNUMBER(SEARCH(_lookup!$D$3:$D$4,H330)),_lookup!$E$3:$E$4),"INT"),VLOOKUP(G330,_lookup!$A$3:$B$14,2,FALSE)),""))</f>
        <v/>
      </c>
      <c r="K330">
        <f>IF(F330&lt;&gt;"weapon","",IF(G330="miscellaneous","1-4",IF(I330="","",IFERROR(VLOOKUP(I330&amp;"|"&amp;IF(LEFT(H330,2)="2H",2,1)&amp;"|"&amp;IF(G330="slashing",1,0),_lookup!$G$3:$H$18,2,FALSE),""))))</f>
        <v/>
      </c>
      <c r="L330">
        <f>IF(K330="","",IF(OR(G330="channeling",G330="infusing"),"Magical",IF(G330="blocking","Anti-Physical",IF(G330="warding","Anti-Magical","Physical"))))</f>
        <v/>
      </c>
      <c r="O330">
        <f>IF(F330&lt;&gt;"armor","","TBD")</f>
        <v/>
      </c>
      <c r="P330">
        <f>IF(O330="","",IF(OR(G330="channeling",G330="infusing"),"Magical",IF(G330="blocking","Anti-Physical",IF(G330="warding","Anti-Magical","Physical"))))</f>
        <v/>
      </c>
    </row>
    <row r="331">
      <c r="J331">
        <f>IF(G331="","",IFERROR(IF(G331="infusing",IFERROR(LOOKUP(2,1/ISNUMBER(SEARCH(_lookup!$D$3:$D$4,H331)),_lookup!$E$3:$E$4),"INT"),VLOOKUP(G331,_lookup!$A$3:$B$14,2,FALSE)),""))</f>
        <v/>
      </c>
      <c r="K331">
        <f>IF(F331&lt;&gt;"weapon","",IF(G331="miscellaneous","1-4",IF(I331="","",IFERROR(VLOOKUP(I331&amp;"|"&amp;IF(LEFT(H331,2)="2H",2,1)&amp;"|"&amp;IF(G331="slashing",1,0),_lookup!$G$3:$H$18,2,FALSE),""))))</f>
        <v/>
      </c>
      <c r="L331">
        <f>IF(K331="","",IF(OR(G331="channeling",G331="infusing"),"Magical",IF(G331="blocking","Anti-Physical",IF(G331="warding","Anti-Magical","Physical"))))</f>
        <v/>
      </c>
      <c r="O331">
        <f>IF(F331&lt;&gt;"armor","","TBD")</f>
        <v/>
      </c>
      <c r="P331">
        <f>IF(O331="","",IF(OR(G331="channeling",G331="infusing"),"Magical",IF(G331="blocking","Anti-Physical",IF(G331="warding","Anti-Magical","Physical"))))</f>
        <v/>
      </c>
    </row>
    <row r="332">
      <c r="J332">
        <f>IF(G332="","",IFERROR(IF(G332="infusing",IFERROR(LOOKUP(2,1/ISNUMBER(SEARCH(_lookup!$D$3:$D$4,H332)),_lookup!$E$3:$E$4),"INT"),VLOOKUP(G332,_lookup!$A$3:$B$14,2,FALSE)),""))</f>
        <v/>
      </c>
      <c r="K332">
        <f>IF(F332&lt;&gt;"weapon","",IF(G332="miscellaneous","1-4",IF(I332="","",IFERROR(VLOOKUP(I332&amp;"|"&amp;IF(LEFT(H332,2)="2H",2,1)&amp;"|"&amp;IF(G332="slashing",1,0),_lookup!$G$3:$H$18,2,FALSE),""))))</f>
        <v/>
      </c>
      <c r="L332">
        <f>IF(K332="","",IF(OR(G332="channeling",G332="infusing"),"Magical",IF(G332="blocking","Anti-Physical",IF(G332="warding","Anti-Magical","Physical"))))</f>
        <v/>
      </c>
      <c r="O332">
        <f>IF(F332&lt;&gt;"armor","","TBD")</f>
        <v/>
      </c>
      <c r="P332">
        <f>IF(O332="","",IF(OR(G332="channeling",G332="infusing"),"Magical",IF(G332="blocking","Anti-Physical",IF(G332="warding","Anti-Magical","Physical"))))</f>
        <v/>
      </c>
    </row>
    <row r="333">
      <c r="J333">
        <f>IF(G333="","",IFERROR(IF(G333="infusing",IFERROR(LOOKUP(2,1/ISNUMBER(SEARCH(_lookup!$D$3:$D$4,H333)),_lookup!$E$3:$E$4),"INT"),VLOOKUP(G333,_lookup!$A$3:$B$14,2,FALSE)),""))</f>
        <v/>
      </c>
      <c r="K333">
        <f>IF(F333&lt;&gt;"weapon","",IF(G333="miscellaneous","1-4",IF(I333="","",IFERROR(VLOOKUP(I333&amp;"|"&amp;IF(LEFT(H333,2)="2H",2,1)&amp;"|"&amp;IF(G333="slashing",1,0),_lookup!$G$3:$H$18,2,FALSE),""))))</f>
        <v/>
      </c>
      <c r="L333">
        <f>IF(K333="","",IF(OR(G333="channeling",G333="infusing"),"Magical",IF(G333="blocking","Anti-Physical",IF(G333="warding","Anti-Magical","Physical"))))</f>
        <v/>
      </c>
      <c r="O333">
        <f>IF(F333&lt;&gt;"armor","","TBD")</f>
        <v/>
      </c>
      <c r="P333">
        <f>IF(O333="","",IF(OR(G333="channeling",G333="infusing"),"Magical",IF(G333="blocking","Anti-Physical",IF(G333="warding","Anti-Magical","Physical"))))</f>
        <v/>
      </c>
    </row>
    <row r="334">
      <c r="J334">
        <f>IF(G334="","",IFERROR(IF(G334="infusing",IFERROR(LOOKUP(2,1/ISNUMBER(SEARCH(_lookup!$D$3:$D$4,H334)),_lookup!$E$3:$E$4),"INT"),VLOOKUP(G334,_lookup!$A$3:$B$14,2,FALSE)),""))</f>
        <v/>
      </c>
      <c r="K334">
        <f>IF(F334&lt;&gt;"weapon","",IF(G334="miscellaneous","1-4",IF(I334="","",IFERROR(VLOOKUP(I334&amp;"|"&amp;IF(LEFT(H334,2)="2H",2,1)&amp;"|"&amp;IF(G334="slashing",1,0),_lookup!$G$3:$H$18,2,FALSE),""))))</f>
        <v/>
      </c>
      <c r="L334">
        <f>IF(K334="","",IF(OR(G334="channeling",G334="infusing"),"Magical",IF(G334="blocking","Anti-Physical",IF(G334="warding","Anti-Magical","Physical"))))</f>
        <v/>
      </c>
      <c r="O334">
        <f>IF(F334&lt;&gt;"armor","","TBD")</f>
        <v/>
      </c>
      <c r="P334">
        <f>IF(O334="","",IF(OR(G334="channeling",G334="infusing"),"Magical",IF(G334="blocking","Anti-Physical",IF(G334="warding","Anti-Magical","Physical"))))</f>
        <v/>
      </c>
    </row>
    <row r="335">
      <c r="J335">
        <f>IF(G335="","",IFERROR(IF(G335="infusing",IFERROR(LOOKUP(2,1/ISNUMBER(SEARCH(_lookup!$D$3:$D$4,H335)),_lookup!$E$3:$E$4),"INT"),VLOOKUP(G335,_lookup!$A$3:$B$14,2,FALSE)),""))</f>
        <v/>
      </c>
      <c r="K335">
        <f>IF(F335&lt;&gt;"weapon","",IF(G335="miscellaneous","1-4",IF(I335="","",IFERROR(VLOOKUP(I335&amp;"|"&amp;IF(LEFT(H335,2)="2H",2,1)&amp;"|"&amp;IF(G335="slashing",1,0),_lookup!$G$3:$H$18,2,FALSE),""))))</f>
        <v/>
      </c>
      <c r="L335">
        <f>IF(K335="","",IF(OR(G335="channeling",G335="infusing"),"Magical",IF(G335="blocking","Anti-Physical",IF(G335="warding","Anti-Magical","Physical"))))</f>
        <v/>
      </c>
      <c r="O335">
        <f>IF(F335&lt;&gt;"armor","","TBD")</f>
        <v/>
      </c>
      <c r="P335">
        <f>IF(O335="","",IF(OR(G335="channeling",G335="infusing"),"Magical",IF(G335="blocking","Anti-Physical",IF(G335="warding","Anti-Magical","Physical"))))</f>
        <v/>
      </c>
    </row>
    <row r="336">
      <c r="J336">
        <f>IF(G336="","",IFERROR(IF(G336="infusing",IFERROR(LOOKUP(2,1/ISNUMBER(SEARCH(_lookup!$D$3:$D$4,H336)),_lookup!$E$3:$E$4),"INT"),VLOOKUP(G336,_lookup!$A$3:$B$14,2,FALSE)),""))</f>
        <v/>
      </c>
      <c r="K336">
        <f>IF(F336&lt;&gt;"weapon","",IF(G336="miscellaneous","1-4",IF(I336="","",IFERROR(VLOOKUP(I336&amp;"|"&amp;IF(LEFT(H336,2)="2H",2,1)&amp;"|"&amp;IF(G336="slashing",1,0),_lookup!$G$3:$H$18,2,FALSE),""))))</f>
        <v/>
      </c>
      <c r="L336">
        <f>IF(K336="","",IF(OR(G336="channeling",G336="infusing"),"Magical",IF(G336="blocking","Anti-Physical",IF(G336="warding","Anti-Magical","Physical"))))</f>
        <v/>
      </c>
      <c r="O336">
        <f>IF(F336&lt;&gt;"armor","","TBD")</f>
        <v/>
      </c>
      <c r="P336">
        <f>IF(O336="","",IF(OR(G336="channeling",G336="infusing"),"Magical",IF(G336="blocking","Anti-Physical",IF(G336="warding","Anti-Magical","Physical"))))</f>
        <v/>
      </c>
    </row>
    <row r="337">
      <c r="J337">
        <f>IF(G337="","",IFERROR(IF(G337="infusing",IFERROR(LOOKUP(2,1/ISNUMBER(SEARCH(_lookup!$D$3:$D$4,H337)),_lookup!$E$3:$E$4),"INT"),VLOOKUP(G337,_lookup!$A$3:$B$14,2,FALSE)),""))</f>
        <v/>
      </c>
      <c r="K337">
        <f>IF(F337&lt;&gt;"weapon","",IF(G337="miscellaneous","1-4",IF(I337="","",IFERROR(VLOOKUP(I337&amp;"|"&amp;IF(LEFT(H337,2)="2H",2,1)&amp;"|"&amp;IF(G337="slashing",1,0),_lookup!$G$3:$H$18,2,FALSE),""))))</f>
        <v/>
      </c>
      <c r="L337">
        <f>IF(K337="","",IF(OR(G337="channeling",G337="infusing"),"Magical",IF(G337="blocking","Anti-Physical",IF(G337="warding","Anti-Magical","Physical"))))</f>
        <v/>
      </c>
      <c r="O337">
        <f>IF(F337&lt;&gt;"armor","","TBD")</f>
        <v/>
      </c>
      <c r="P337">
        <f>IF(O337="","",IF(OR(G337="channeling",G337="infusing"),"Magical",IF(G337="blocking","Anti-Physical",IF(G337="warding","Anti-Magical","Physical"))))</f>
        <v/>
      </c>
    </row>
    <row r="338">
      <c r="J338">
        <f>IF(G338="","",IFERROR(IF(G338="infusing",IFERROR(LOOKUP(2,1/ISNUMBER(SEARCH(_lookup!$D$3:$D$4,H338)),_lookup!$E$3:$E$4),"INT"),VLOOKUP(G338,_lookup!$A$3:$B$14,2,FALSE)),""))</f>
        <v/>
      </c>
      <c r="K338">
        <f>IF(F338&lt;&gt;"weapon","",IF(G338="miscellaneous","1-4",IF(I338="","",IFERROR(VLOOKUP(I338&amp;"|"&amp;IF(LEFT(H338,2)="2H",2,1)&amp;"|"&amp;IF(G338="slashing",1,0),_lookup!$G$3:$H$18,2,FALSE),""))))</f>
        <v/>
      </c>
      <c r="L338">
        <f>IF(K338="","",IF(OR(G338="channeling",G338="infusing"),"Magical",IF(G338="blocking","Anti-Physical",IF(G338="warding","Anti-Magical","Physical"))))</f>
        <v/>
      </c>
      <c r="O338">
        <f>IF(F338&lt;&gt;"armor","","TBD")</f>
        <v/>
      </c>
      <c r="P338">
        <f>IF(O338="","",IF(OR(G338="channeling",G338="infusing"),"Magical",IF(G338="blocking","Anti-Physical",IF(G338="warding","Anti-Magical","Physical"))))</f>
        <v/>
      </c>
    </row>
    <row r="339">
      <c r="J339">
        <f>IF(G339="","",IFERROR(IF(G339="infusing",IFERROR(LOOKUP(2,1/ISNUMBER(SEARCH(_lookup!$D$3:$D$4,H339)),_lookup!$E$3:$E$4),"INT"),VLOOKUP(G339,_lookup!$A$3:$B$14,2,FALSE)),""))</f>
        <v/>
      </c>
      <c r="K339">
        <f>IF(F339&lt;&gt;"weapon","",IF(G339="miscellaneous","1-4",IF(I339="","",IFERROR(VLOOKUP(I339&amp;"|"&amp;IF(LEFT(H339,2)="2H",2,1)&amp;"|"&amp;IF(G339="slashing",1,0),_lookup!$G$3:$H$18,2,FALSE),""))))</f>
        <v/>
      </c>
      <c r="L339">
        <f>IF(K339="","",IF(OR(G339="channeling",G339="infusing"),"Magical",IF(G339="blocking","Anti-Physical",IF(G339="warding","Anti-Magical","Physical"))))</f>
        <v/>
      </c>
      <c r="O339">
        <f>IF(F339&lt;&gt;"armor","","TBD")</f>
        <v/>
      </c>
      <c r="P339">
        <f>IF(O339="","",IF(OR(G339="channeling",G339="infusing"),"Magical",IF(G339="blocking","Anti-Physical",IF(G339="warding","Anti-Magical","Physical"))))</f>
        <v/>
      </c>
    </row>
    <row r="340">
      <c r="J340">
        <f>IF(G340="","",IFERROR(IF(G340="infusing",IFERROR(LOOKUP(2,1/ISNUMBER(SEARCH(_lookup!$D$3:$D$4,H340)),_lookup!$E$3:$E$4),"INT"),VLOOKUP(G340,_lookup!$A$3:$B$14,2,FALSE)),""))</f>
        <v/>
      </c>
      <c r="K340">
        <f>IF(F340&lt;&gt;"weapon","",IF(G340="miscellaneous","1-4",IF(I340="","",IFERROR(VLOOKUP(I340&amp;"|"&amp;IF(LEFT(H340,2)="2H",2,1)&amp;"|"&amp;IF(G340="slashing",1,0),_lookup!$G$3:$H$18,2,FALSE),""))))</f>
        <v/>
      </c>
      <c r="L340">
        <f>IF(K340="","",IF(OR(G340="channeling",G340="infusing"),"Magical",IF(G340="blocking","Anti-Physical",IF(G340="warding","Anti-Magical","Physical"))))</f>
        <v/>
      </c>
      <c r="O340">
        <f>IF(F340&lt;&gt;"armor","","TBD")</f>
        <v/>
      </c>
      <c r="P340">
        <f>IF(O340="","",IF(OR(G340="channeling",G340="infusing"),"Magical",IF(G340="blocking","Anti-Physical",IF(G340="warding","Anti-Magical","Physical"))))</f>
        <v/>
      </c>
    </row>
    <row r="341">
      <c r="J341">
        <f>IF(G341="","",IFERROR(IF(G341="infusing",IFERROR(LOOKUP(2,1/ISNUMBER(SEARCH(_lookup!$D$3:$D$4,H341)),_lookup!$E$3:$E$4),"INT"),VLOOKUP(G341,_lookup!$A$3:$B$14,2,FALSE)),""))</f>
        <v/>
      </c>
      <c r="K341">
        <f>IF(F341&lt;&gt;"weapon","",IF(G341="miscellaneous","1-4",IF(I341="","",IFERROR(VLOOKUP(I341&amp;"|"&amp;IF(LEFT(H341,2)="2H",2,1)&amp;"|"&amp;IF(G341="slashing",1,0),_lookup!$G$3:$H$18,2,FALSE),""))))</f>
        <v/>
      </c>
      <c r="L341">
        <f>IF(K341="","",IF(OR(G341="channeling",G341="infusing"),"Magical",IF(G341="blocking","Anti-Physical",IF(G341="warding","Anti-Magical","Physical"))))</f>
        <v/>
      </c>
      <c r="O341">
        <f>IF(F341&lt;&gt;"armor","","TBD")</f>
        <v/>
      </c>
      <c r="P341">
        <f>IF(O341="","",IF(OR(G341="channeling",G341="infusing"),"Magical",IF(G341="blocking","Anti-Physical",IF(G341="warding","Anti-Magical","Physical"))))</f>
        <v/>
      </c>
    </row>
    <row r="342">
      <c r="J342">
        <f>IF(G342="","",IFERROR(IF(G342="infusing",IFERROR(LOOKUP(2,1/ISNUMBER(SEARCH(_lookup!$D$3:$D$4,H342)),_lookup!$E$3:$E$4),"INT"),VLOOKUP(G342,_lookup!$A$3:$B$14,2,FALSE)),""))</f>
        <v/>
      </c>
      <c r="K342">
        <f>IF(F342&lt;&gt;"weapon","",IF(G342="miscellaneous","1-4",IF(I342="","",IFERROR(VLOOKUP(I342&amp;"|"&amp;IF(LEFT(H342,2)="2H",2,1)&amp;"|"&amp;IF(G342="slashing",1,0),_lookup!$G$3:$H$18,2,FALSE),""))))</f>
        <v/>
      </c>
      <c r="L342">
        <f>IF(K342="","",IF(OR(G342="channeling",G342="infusing"),"Magical",IF(G342="blocking","Anti-Physical",IF(G342="warding","Anti-Magical","Physical"))))</f>
        <v/>
      </c>
      <c r="O342">
        <f>IF(F342&lt;&gt;"armor","","TBD")</f>
        <v/>
      </c>
      <c r="P342">
        <f>IF(O342="","",IF(OR(G342="channeling",G342="infusing"),"Magical",IF(G342="blocking","Anti-Physical",IF(G342="warding","Anti-Magical","Physical"))))</f>
        <v/>
      </c>
    </row>
    <row r="343">
      <c r="J343">
        <f>IF(G343="","",IFERROR(IF(G343="infusing",IFERROR(LOOKUP(2,1/ISNUMBER(SEARCH(_lookup!$D$3:$D$4,H343)),_lookup!$E$3:$E$4),"INT"),VLOOKUP(G343,_lookup!$A$3:$B$14,2,FALSE)),""))</f>
        <v/>
      </c>
      <c r="K343">
        <f>IF(F343&lt;&gt;"weapon","",IF(G343="miscellaneous","1-4",IF(I343="","",IFERROR(VLOOKUP(I343&amp;"|"&amp;IF(LEFT(H343,2)="2H",2,1)&amp;"|"&amp;IF(G343="slashing",1,0),_lookup!$G$3:$H$18,2,FALSE),""))))</f>
        <v/>
      </c>
      <c r="L343">
        <f>IF(K343="","",IF(OR(G343="channeling",G343="infusing"),"Magical",IF(G343="blocking","Anti-Physical",IF(G343="warding","Anti-Magical","Physical"))))</f>
        <v/>
      </c>
      <c r="O343">
        <f>IF(F343&lt;&gt;"armor","","TBD")</f>
        <v/>
      </c>
      <c r="P343">
        <f>IF(O343="","",IF(OR(G343="channeling",G343="infusing"),"Magical",IF(G343="blocking","Anti-Physical",IF(G343="warding","Anti-Magical","Physical"))))</f>
        <v/>
      </c>
    </row>
    <row r="344">
      <c r="J344">
        <f>IF(G344="","",IFERROR(IF(G344="infusing",IFERROR(LOOKUP(2,1/ISNUMBER(SEARCH(_lookup!$D$3:$D$4,H344)),_lookup!$E$3:$E$4),"INT"),VLOOKUP(G344,_lookup!$A$3:$B$14,2,FALSE)),""))</f>
        <v/>
      </c>
      <c r="K344">
        <f>IF(F344&lt;&gt;"weapon","",IF(G344="miscellaneous","1-4",IF(I344="","",IFERROR(VLOOKUP(I344&amp;"|"&amp;IF(LEFT(H344,2)="2H",2,1)&amp;"|"&amp;IF(G344="slashing",1,0),_lookup!$G$3:$H$18,2,FALSE),""))))</f>
        <v/>
      </c>
      <c r="L344">
        <f>IF(K344="","",IF(OR(G344="channeling",G344="infusing"),"Magical",IF(G344="blocking","Anti-Physical",IF(G344="warding","Anti-Magical","Physical"))))</f>
        <v/>
      </c>
      <c r="O344">
        <f>IF(F344&lt;&gt;"armor","","TBD")</f>
        <v/>
      </c>
      <c r="P344">
        <f>IF(O344="","",IF(OR(G344="channeling",G344="infusing"),"Magical",IF(G344="blocking","Anti-Physical",IF(G344="warding","Anti-Magical","Physical"))))</f>
        <v/>
      </c>
    </row>
    <row r="345">
      <c r="J345">
        <f>IF(G345="","",IFERROR(IF(G345="infusing",IFERROR(LOOKUP(2,1/ISNUMBER(SEARCH(_lookup!$D$3:$D$4,H345)),_lookup!$E$3:$E$4),"INT"),VLOOKUP(G345,_lookup!$A$3:$B$14,2,FALSE)),""))</f>
        <v/>
      </c>
      <c r="K345">
        <f>IF(F345&lt;&gt;"weapon","",IF(G345="miscellaneous","1-4",IF(I345="","",IFERROR(VLOOKUP(I345&amp;"|"&amp;IF(LEFT(H345,2)="2H",2,1)&amp;"|"&amp;IF(G345="slashing",1,0),_lookup!$G$3:$H$18,2,FALSE),""))))</f>
        <v/>
      </c>
      <c r="L345">
        <f>IF(K345="","",IF(OR(G345="channeling",G345="infusing"),"Magical",IF(G345="blocking","Anti-Physical",IF(G345="warding","Anti-Magical","Physical"))))</f>
        <v/>
      </c>
      <c r="O345">
        <f>IF(F345&lt;&gt;"armor","","TBD")</f>
        <v/>
      </c>
      <c r="P345">
        <f>IF(O345="","",IF(OR(G345="channeling",G345="infusing"),"Magical",IF(G345="blocking","Anti-Physical",IF(G345="warding","Anti-Magical","Physical"))))</f>
        <v/>
      </c>
    </row>
    <row r="346">
      <c r="J346">
        <f>IF(G346="","",IFERROR(IF(G346="infusing",IFERROR(LOOKUP(2,1/ISNUMBER(SEARCH(_lookup!$D$3:$D$4,H346)),_lookup!$E$3:$E$4),"INT"),VLOOKUP(G346,_lookup!$A$3:$B$14,2,FALSE)),""))</f>
        <v/>
      </c>
      <c r="K346">
        <f>IF(F346&lt;&gt;"weapon","",IF(G346="miscellaneous","1-4",IF(I346="","",IFERROR(VLOOKUP(I346&amp;"|"&amp;IF(LEFT(H346,2)="2H",2,1)&amp;"|"&amp;IF(G346="slashing",1,0),_lookup!$G$3:$H$18,2,FALSE),""))))</f>
        <v/>
      </c>
      <c r="L346">
        <f>IF(K346="","",IF(OR(G346="channeling",G346="infusing"),"Magical",IF(G346="blocking","Anti-Physical",IF(G346="warding","Anti-Magical","Physical"))))</f>
        <v/>
      </c>
      <c r="O346">
        <f>IF(F346&lt;&gt;"armor","","TBD")</f>
        <v/>
      </c>
      <c r="P346">
        <f>IF(O346="","",IF(OR(G346="channeling",G346="infusing"),"Magical",IF(G346="blocking","Anti-Physical",IF(G346="warding","Anti-Magical","Physical"))))</f>
        <v/>
      </c>
    </row>
    <row r="347">
      <c r="J347">
        <f>IF(G347="","",IFERROR(IF(G347="infusing",IFERROR(LOOKUP(2,1/ISNUMBER(SEARCH(_lookup!$D$3:$D$4,H347)),_lookup!$E$3:$E$4),"INT"),VLOOKUP(G347,_lookup!$A$3:$B$14,2,FALSE)),""))</f>
        <v/>
      </c>
      <c r="K347">
        <f>IF(F347&lt;&gt;"weapon","",IF(G347="miscellaneous","1-4",IF(I347="","",IFERROR(VLOOKUP(I347&amp;"|"&amp;IF(LEFT(H347,2)="2H",2,1)&amp;"|"&amp;IF(G347="slashing",1,0),_lookup!$G$3:$H$18,2,FALSE),""))))</f>
        <v/>
      </c>
      <c r="L347">
        <f>IF(K347="","",IF(OR(G347="channeling",G347="infusing"),"Magical",IF(G347="blocking","Anti-Physical",IF(G347="warding","Anti-Magical","Physical"))))</f>
        <v/>
      </c>
      <c r="O347">
        <f>IF(F347&lt;&gt;"armor","","TBD")</f>
        <v/>
      </c>
      <c r="P347">
        <f>IF(O347="","",IF(OR(G347="channeling",G347="infusing"),"Magical",IF(G347="blocking","Anti-Physical",IF(G347="warding","Anti-Magical","Physical"))))</f>
        <v/>
      </c>
    </row>
    <row r="348">
      <c r="J348">
        <f>IF(G348="","",IFERROR(IF(G348="infusing",IFERROR(LOOKUP(2,1/ISNUMBER(SEARCH(_lookup!$D$3:$D$4,H348)),_lookup!$E$3:$E$4),"INT"),VLOOKUP(G348,_lookup!$A$3:$B$14,2,FALSE)),""))</f>
        <v/>
      </c>
      <c r="K348">
        <f>IF(F348&lt;&gt;"weapon","",IF(G348="miscellaneous","1-4",IF(I348="","",IFERROR(VLOOKUP(I348&amp;"|"&amp;IF(LEFT(H348,2)="2H",2,1)&amp;"|"&amp;IF(G348="slashing",1,0),_lookup!$G$3:$H$18,2,FALSE),""))))</f>
        <v/>
      </c>
      <c r="L348">
        <f>IF(K348="","",IF(OR(G348="channeling",G348="infusing"),"Magical",IF(G348="blocking","Anti-Physical",IF(G348="warding","Anti-Magical","Physical"))))</f>
        <v/>
      </c>
      <c r="O348">
        <f>IF(F348&lt;&gt;"armor","","TBD")</f>
        <v/>
      </c>
      <c r="P348">
        <f>IF(O348="","",IF(OR(G348="channeling",G348="infusing"),"Magical",IF(G348="blocking","Anti-Physical",IF(G348="warding","Anti-Magical","Physical"))))</f>
        <v/>
      </c>
    </row>
    <row r="349">
      <c r="J349">
        <f>IF(G349="","",IFERROR(IF(G349="infusing",IFERROR(LOOKUP(2,1/ISNUMBER(SEARCH(_lookup!$D$3:$D$4,H349)),_lookup!$E$3:$E$4),"INT"),VLOOKUP(G349,_lookup!$A$3:$B$14,2,FALSE)),""))</f>
        <v/>
      </c>
      <c r="K349">
        <f>IF(F349&lt;&gt;"weapon","",IF(G349="miscellaneous","1-4",IF(I349="","",IFERROR(VLOOKUP(I349&amp;"|"&amp;IF(LEFT(H349,2)="2H",2,1)&amp;"|"&amp;IF(G349="slashing",1,0),_lookup!$G$3:$H$18,2,FALSE),""))))</f>
        <v/>
      </c>
      <c r="L349">
        <f>IF(K349="","",IF(OR(G349="channeling",G349="infusing"),"Magical",IF(G349="blocking","Anti-Physical",IF(G349="warding","Anti-Magical","Physical"))))</f>
        <v/>
      </c>
      <c r="O349">
        <f>IF(F349&lt;&gt;"armor","","TBD")</f>
        <v/>
      </c>
      <c r="P349">
        <f>IF(O349="","",IF(OR(G349="channeling",G349="infusing"),"Magical",IF(G349="blocking","Anti-Physical",IF(G349="warding","Anti-Magical","Physical"))))</f>
        <v/>
      </c>
    </row>
    <row r="350">
      <c r="J350">
        <f>IF(G350="","",IFERROR(IF(G350="infusing",IFERROR(LOOKUP(2,1/ISNUMBER(SEARCH(_lookup!$D$3:$D$4,H350)),_lookup!$E$3:$E$4),"INT"),VLOOKUP(G350,_lookup!$A$3:$B$14,2,FALSE)),""))</f>
        <v/>
      </c>
      <c r="K350">
        <f>IF(F350&lt;&gt;"weapon","",IF(G350="miscellaneous","1-4",IF(I350="","",IFERROR(VLOOKUP(I350&amp;"|"&amp;IF(LEFT(H350,2)="2H",2,1)&amp;"|"&amp;IF(G350="slashing",1,0),_lookup!$G$3:$H$18,2,FALSE),""))))</f>
        <v/>
      </c>
      <c r="L350">
        <f>IF(K350="","",IF(OR(G350="channeling",G350="infusing"),"Magical",IF(G350="blocking","Anti-Physical",IF(G350="warding","Anti-Magical","Physical"))))</f>
        <v/>
      </c>
      <c r="O350">
        <f>IF(F350&lt;&gt;"armor","","TBD")</f>
        <v/>
      </c>
      <c r="P350">
        <f>IF(O350="","",IF(OR(G350="channeling",G350="infusing"),"Magical",IF(G350="blocking","Anti-Physical",IF(G350="warding","Anti-Magical","Physical"))))</f>
        <v/>
      </c>
    </row>
    <row r="351">
      <c r="J351">
        <f>IF(G351="","",IFERROR(IF(G351="infusing",IFERROR(LOOKUP(2,1/ISNUMBER(SEARCH(_lookup!$D$3:$D$4,H351)),_lookup!$E$3:$E$4),"INT"),VLOOKUP(G351,_lookup!$A$3:$B$14,2,FALSE)),""))</f>
        <v/>
      </c>
      <c r="K351">
        <f>IF(F351&lt;&gt;"weapon","",IF(G351="miscellaneous","1-4",IF(I351="","",IFERROR(VLOOKUP(I351&amp;"|"&amp;IF(LEFT(H351,2)="2H",2,1)&amp;"|"&amp;IF(G351="slashing",1,0),_lookup!$G$3:$H$18,2,FALSE),""))))</f>
        <v/>
      </c>
      <c r="L351">
        <f>IF(K351="","",IF(OR(G351="channeling",G351="infusing"),"Magical",IF(G351="blocking","Anti-Physical",IF(G351="warding","Anti-Magical","Physical"))))</f>
        <v/>
      </c>
      <c r="O351">
        <f>IF(F351&lt;&gt;"armor","","TBD")</f>
        <v/>
      </c>
      <c r="P351">
        <f>IF(O351="","",IF(OR(G351="channeling",G351="infusing"),"Magical",IF(G351="blocking","Anti-Physical",IF(G351="warding","Anti-Magical","Physical"))))</f>
        <v/>
      </c>
    </row>
    <row r="352">
      <c r="J352">
        <f>IF(G352="","",IFERROR(IF(G352="infusing",IFERROR(LOOKUP(2,1/ISNUMBER(SEARCH(_lookup!$D$3:$D$4,H352)),_lookup!$E$3:$E$4),"INT"),VLOOKUP(G352,_lookup!$A$3:$B$14,2,FALSE)),""))</f>
        <v/>
      </c>
      <c r="K352">
        <f>IF(F352&lt;&gt;"weapon","",IF(G352="miscellaneous","1-4",IF(I352="","",IFERROR(VLOOKUP(I352&amp;"|"&amp;IF(LEFT(H352,2)="2H",2,1)&amp;"|"&amp;IF(G352="slashing",1,0),_lookup!$G$3:$H$18,2,FALSE),""))))</f>
        <v/>
      </c>
      <c r="L352">
        <f>IF(K352="","",IF(OR(G352="channeling",G352="infusing"),"Magical",IF(G352="blocking","Anti-Physical",IF(G352="warding","Anti-Magical","Physical"))))</f>
        <v/>
      </c>
      <c r="O352">
        <f>IF(F352&lt;&gt;"armor","","TBD")</f>
        <v/>
      </c>
      <c r="P352">
        <f>IF(O352="","",IF(OR(G352="channeling",G352="infusing"),"Magical",IF(G352="blocking","Anti-Physical",IF(G352="warding","Anti-Magical","Physical"))))</f>
        <v/>
      </c>
    </row>
    <row r="353">
      <c r="J353">
        <f>IF(G353="","",IFERROR(IF(G353="infusing",IFERROR(LOOKUP(2,1/ISNUMBER(SEARCH(_lookup!$D$3:$D$4,H353)),_lookup!$E$3:$E$4),"INT"),VLOOKUP(G353,_lookup!$A$3:$B$14,2,FALSE)),""))</f>
        <v/>
      </c>
      <c r="K353">
        <f>IF(F353&lt;&gt;"weapon","",IF(G353="miscellaneous","1-4",IF(I353="","",IFERROR(VLOOKUP(I353&amp;"|"&amp;IF(LEFT(H353,2)="2H",2,1)&amp;"|"&amp;IF(G353="slashing",1,0),_lookup!$G$3:$H$18,2,FALSE),""))))</f>
        <v/>
      </c>
      <c r="L353">
        <f>IF(K353="","",IF(OR(G353="channeling",G353="infusing"),"Magical",IF(G353="blocking","Anti-Physical",IF(G353="warding","Anti-Magical","Physical"))))</f>
        <v/>
      </c>
      <c r="O353">
        <f>IF(F353&lt;&gt;"armor","","TBD")</f>
        <v/>
      </c>
      <c r="P353">
        <f>IF(O353="","",IF(OR(G353="channeling",G353="infusing"),"Magical",IF(G353="blocking","Anti-Physical",IF(G353="warding","Anti-Magical","Physical"))))</f>
        <v/>
      </c>
    </row>
    <row r="354">
      <c r="J354">
        <f>IF(G354="","",IFERROR(IF(G354="infusing",IFERROR(LOOKUP(2,1/ISNUMBER(SEARCH(_lookup!$D$3:$D$4,H354)),_lookup!$E$3:$E$4),"INT"),VLOOKUP(G354,_lookup!$A$3:$B$14,2,FALSE)),""))</f>
        <v/>
      </c>
      <c r="K354">
        <f>IF(F354&lt;&gt;"weapon","",IF(G354="miscellaneous","1-4",IF(I354="","",IFERROR(VLOOKUP(I354&amp;"|"&amp;IF(LEFT(H354,2)="2H",2,1)&amp;"|"&amp;IF(G354="slashing",1,0),_lookup!$G$3:$H$18,2,FALSE),""))))</f>
        <v/>
      </c>
      <c r="L354">
        <f>IF(K354="","",IF(OR(G354="channeling",G354="infusing"),"Magical",IF(G354="blocking","Anti-Physical",IF(G354="warding","Anti-Magical","Physical"))))</f>
        <v/>
      </c>
      <c r="O354">
        <f>IF(F354&lt;&gt;"armor","","TBD")</f>
        <v/>
      </c>
      <c r="P354">
        <f>IF(O354="","",IF(OR(G354="channeling",G354="infusing"),"Magical",IF(G354="blocking","Anti-Physical",IF(G354="warding","Anti-Magical","Physical"))))</f>
        <v/>
      </c>
    </row>
    <row r="355">
      <c r="J355">
        <f>IF(G355="","",IFERROR(IF(G355="infusing",IFERROR(LOOKUP(2,1/ISNUMBER(SEARCH(_lookup!$D$3:$D$4,H355)),_lookup!$E$3:$E$4),"INT"),VLOOKUP(G355,_lookup!$A$3:$B$14,2,FALSE)),""))</f>
        <v/>
      </c>
      <c r="K355">
        <f>IF(F355&lt;&gt;"weapon","",IF(G355="miscellaneous","1-4",IF(I355="","",IFERROR(VLOOKUP(I355&amp;"|"&amp;IF(LEFT(H355,2)="2H",2,1)&amp;"|"&amp;IF(G355="slashing",1,0),_lookup!$G$3:$H$18,2,FALSE),""))))</f>
        <v/>
      </c>
      <c r="L355">
        <f>IF(K355="","",IF(OR(G355="channeling",G355="infusing"),"Magical",IF(G355="blocking","Anti-Physical",IF(G355="warding","Anti-Magical","Physical"))))</f>
        <v/>
      </c>
      <c r="O355">
        <f>IF(F355&lt;&gt;"armor","","TBD")</f>
        <v/>
      </c>
      <c r="P355">
        <f>IF(O355="","",IF(OR(G355="channeling",G355="infusing"),"Magical",IF(G355="blocking","Anti-Physical",IF(G355="warding","Anti-Magical","Physical"))))</f>
        <v/>
      </c>
    </row>
    <row r="356">
      <c r="J356">
        <f>IF(G356="","",IFERROR(IF(G356="infusing",IFERROR(LOOKUP(2,1/ISNUMBER(SEARCH(_lookup!$D$3:$D$4,H356)),_lookup!$E$3:$E$4),"INT"),VLOOKUP(G356,_lookup!$A$3:$B$14,2,FALSE)),""))</f>
        <v/>
      </c>
      <c r="K356">
        <f>IF(F356&lt;&gt;"weapon","",IF(G356="miscellaneous","1-4",IF(I356="","",IFERROR(VLOOKUP(I356&amp;"|"&amp;IF(LEFT(H356,2)="2H",2,1)&amp;"|"&amp;IF(G356="slashing",1,0),_lookup!$G$3:$H$18,2,FALSE),""))))</f>
        <v/>
      </c>
      <c r="L356">
        <f>IF(K356="","",IF(OR(G356="channeling",G356="infusing"),"Magical",IF(G356="blocking","Anti-Physical",IF(G356="warding","Anti-Magical","Physical"))))</f>
        <v/>
      </c>
      <c r="O356">
        <f>IF(F356&lt;&gt;"armor","","TBD")</f>
        <v/>
      </c>
      <c r="P356">
        <f>IF(O356="","",IF(OR(G356="channeling",G356="infusing"),"Magical",IF(G356="blocking","Anti-Physical",IF(G356="warding","Anti-Magical","Physical"))))</f>
        <v/>
      </c>
    </row>
    <row r="357">
      <c r="J357">
        <f>IF(G357="","",IFERROR(IF(G357="infusing",IFERROR(LOOKUP(2,1/ISNUMBER(SEARCH(_lookup!$D$3:$D$4,H357)),_lookup!$E$3:$E$4),"INT"),VLOOKUP(G357,_lookup!$A$3:$B$14,2,FALSE)),""))</f>
        <v/>
      </c>
      <c r="K357">
        <f>IF(F357&lt;&gt;"weapon","",IF(G357="miscellaneous","1-4",IF(I357="","",IFERROR(VLOOKUP(I357&amp;"|"&amp;IF(LEFT(H357,2)="2H",2,1)&amp;"|"&amp;IF(G357="slashing",1,0),_lookup!$G$3:$H$18,2,FALSE),""))))</f>
        <v/>
      </c>
      <c r="L357">
        <f>IF(K357="","",IF(OR(G357="channeling",G357="infusing"),"Magical",IF(G357="blocking","Anti-Physical",IF(G357="warding","Anti-Magical","Physical"))))</f>
        <v/>
      </c>
      <c r="O357">
        <f>IF(F357&lt;&gt;"armor","","TBD")</f>
        <v/>
      </c>
      <c r="P357">
        <f>IF(O357="","",IF(OR(G357="channeling",G357="infusing"),"Magical",IF(G357="blocking","Anti-Physical",IF(G357="warding","Anti-Magical","Physical"))))</f>
        <v/>
      </c>
    </row>
    <row r="358">
      <c r="J358">
        <f>IF(G358="","",IFERROR(IF(G358="infusing",IFERROR(LOOKUP(2,1/ISNUMBER(SEARCH(_lookup!$D$3:$D$4,H358)),_lookup!$E$3:$E$4),"INT"),VLOOKUP(G358,_lookup!$A$3:$B$14,2,FALSE)),""))</f>
        <v/>
      </c>
      <c r="K358">
        <f>IF(F358&lt;&gt;"weapon","",IF(G358="miscellaneous","1-4",IF(I358="","",IFERROR(VLOOKUP(I358&amp;"|"&amp;IF(LEFT(H358,2)="2H",2,1)&amp;"|"&amp;IF(G358="slashing",1,0),_lookup!$G$3:$H$18,2,FALSE),""))))</f>
        <v/>
      </c>
      <c r="L358">
        <f>IF(K358="","",IF(OR(G358="channeling",G358="infusing"),"Magical",IF(G358="blocking","Anti-Physical",IF(G358="warding","Anti-Magical","Physical"))))</f>
        <v/>
      </c>
      <c r="O358">
        <f>IF(F358&lt;&gt;"armor","","TBD")</f>
        <v/>
      </c>
      <c r="P358">
        <f>IF(O358="","",IF(OR(G358="channeling",G358="infusing"),"Magical",IF(G358="blocking","Anti-Physical",IF(G358="warding","Anti-Magical","Physical"))))</f>
        <v/>
      </c>
    </row>
    <row r="359">
      <c r="J359">
        <f>IF(G359="","",IFERROR(IF(G359="infusing",IFERROR(LOOKUP(2,1/ISNUMBER(SEARCH(_lookup!$D$3:$D$4,H359)),_lookup!$E$3:$E$4),"INT"),VLOOKUP(G359,_lookup!$A$3:$B$14,2,FALSE)),""))</f>
        <v/>
      </c>
      <c r="K359">
        <f>IF(F359&lt;&gt;"weapon","",IF(G359="miscellaneous","1-4",IF(I359="","",IFERROR(VLOOKUP(I359&amp;"|"&amp;IF(LEFT(H359,2)="2H",2,1)&amp;"|"&amp;IF(G359="slashing",1,0),_lookup!$G$3:$H$18,2,FALSE),""))))</f>
        <v/>
      </c>
      <c r="L359">
        <f>IF(K359="","",IF(OR(G359="channeling",G359="infusing"),"Magical",IF(G359="blocking","Anti-Physical",IF(G359="warding","Anti-Magical","Physical"))))</f>
        <v/>
      </c>
      <c r="O359">
        <f>IF(F359&lt;&gt;"armor","","TBD")</f>
        <v/>
      </c>
      <c r="P359">
        <f>IF(O359="","",IF(OR(G359="channeling",G359="infusing"),"Magical",IF(G359="blocking","Anti-Physical",IF(G359="warding","Anti-Magical","Physical"))))</f>
        <v/>
      </c>
    </row>
    <row r="360">
      <c r="J360">
        <f>IF(G360="","",IFERROR(IF(G360="infusing",IFERROR(LOOKUP(2,1/ISNUMBER(SEARCH(_lookup!$D$3:$D$4,H360)),_lookup!$E$3:$E$4),"INT"),VLOOKUP(G360,_lookup!$A$3:$B$14,2,FALSE)),""))</f>
        <v/>
      </c>
      <c r="K360">
        <f>IF(F360&lt;&gt;"weapon","",IF(G360="miscellaneous","1-4",IF(I360="","",IFERROR(VLOOKUP(I360&amp;"|"&amp;IF(LEFT(H360,2)="2H",2,1)&amp;"|"&amp;IF(G360="slashing",1,0),_lookup!$G$3:$H$18,2,FALSE),""))))</f>
        <v/>
      </c>
      <c r="L360">
        <f>IF(K360="","",IF(OR(G360="channeling",G360="infusing"),"Magical",IF(G360="blocking","Anti-Physical",IF(G360="warding","Anti-Magical","Physical"))))</f>
        <v/>
      </c>
      <c r="O360">
        <f>IF(F360&lt;&gt;"armor","","TBD")</f>
        <v/>
      </c>
      <c r="P360">
        <f>IF(O360="","",IF(OR(G360="channeling",G360="infusing"),"Magical",IF(G360="blocking","Anti-Physical",IF(G360="warding","Anti-Magical","Physical"))))</f>
        <v/>
      </c>
    </row>
    <row r="361">
      <c r="J361">
        <f>IF(G361="","",IFERROR(IF(G361="infusing",IFERROR(LOOKUP(2,1/ISNUMBER(SEARCH(_lookup!$D$3:$D$4,H361)),_lookup!$E$3:$E$4),"INT"),VLOOKUP(G361,_lookup!$A$3:$B$14,2,FALSE)),""))</f>
        <v/>
      </c>
      <c r="K361">
        <f>IF(F361&lt;&gt;"weapon","",IF(G361="miscellaneous","1-4",IF(I361="","",IFERROR(VLOOKUP(I361&amp;"|"&amp;IF(LEFT(H361,2)="2H",2,1)&amp;"|"&amp;IF(G361="slashing",1,0),_lookup!$G$3:$H$18,2,FALSE),""))))</f>
        <v/>
      </c>
      <c r="L361">
        <f>IF(K361="","",IF(OR(G361="channeling",G361="infusing"),"Magical",IF(G361="blocking","Anti-Physical",IF(G361="warding","Anti-Magical","Physical"))))</f>
        <v/>
      </c>
      <c r="O361">
        <f>IF(F361&lt;&gt;"armor","","TBD")</f>
        <v/>
      </c>
      <c r="P361">
        <f>IF(O361="","",IF(OR(G361="channeling",G361="infusing"),"Magical",IF(G361="blocking","Anti-Physical",IF(G361="warding","Anti-Magical","Physical"))))</f>
        <v/>
      </c>
    </row>
    <row r="362">
      <c r="J362">
        <f>IF(G362="","",IFERROR(IF(G362="infusing",IFERROR(LOOKUP(2,1/ISNUMBER(SEARCH(_lookup!$D$3:$D$4,H362)),_lookup!$E$3:$E$4),"INT"),VLOOKUP(G362,_lookup!$A$3:$B$14,2,FALSE)),""))</f>
        <v/>
      </c>
      <c r="K362">
        <f>IF(F362&lt;&gt;"weapon","",IF(G362="miscellaneous","1-4",IF(I362="","",IFERROR(VLOOKUP(I362&amp;"|"&amp;IF(LEFT(H362,2)="2H",2,1)&amp;"|"&amp;IF(G362="slashing",1,0),_lookup!$G$3:$H$18,2,FALSE),""))))</f>
        <v/>
      </c>
      <c r="L362">
        <f>IF(K362="","",IF(OR(G362="channeling",G362="infusing"),"Magical",IF(G362="blocking","Anti-Physical",IF(G362="warding","Anti-Magical","Physical"))))</f>
        <v/>
      </c>
      <c r="O362">
        <f>IF(F362&lt;&gt;"armor","","TBD")</f>
        <v/>
      </c>
      <c r="P362">
        <f>IF(O362="","",IF(OR(G362="channeling",G362="infusing"),"Magical",IF(G362="blocking","Anti-Physical",IF(G362="warding","Anti-Magical","Physical"))))</f>
        <v/>
      </c>
    </row>
    <row r="363">
      <c r="J363">
        <f>IF(G363="","",IFERROR(IF(G363="infusing",IFERROR(LOOKUP(2,1/ISNUMBER(SEARCH(_lookup!$D$3:$D$4,H363)),_lookup!$E$3:$E$4),"INT"),VLOOKUP(G363,_lookup!$A$3:$B$14,2,FALSE)),""))</f>
        <v/>
      </c>
      <c r="K363">
        <f>IF(F363&lt;&gt;"weapon","",IF(G363="miscellaneous","1-4",IF(I363="","",IFERROR(VLOOKUP(I363&amp;"|"&amp;IF(LEFT(H363,2)="2H",2,1)&amp;"|"&amp;IF(G363="slashing",1,0),_lookup!$G$3:$H$18,2,FALSE),""))))</f>
        <v/>
      </c>
      <c r="L363">
        <f>IF(K363="","",IF(OR(G363="channeling",G363="infusing"),"Magical",IF(G363="blocking","Anti-Physical",IF(G363="warding","Anti-Magical","Physical"))))</f>
        <v/>
      </c>
      <c r="O363">
        <f>IF(F363&lt;&gt;"armor","","TBD")</f>
        <v/>
      </c>
      <c r="P363">
        <f>IF(O363="","",IF(OR(G363="channeling",G363="infusing"),"Magical",IF(G363="blocking","Anti-Physical",IF(G363="warding","Anti-Magical","Physical"))))</f>
        <v/>
      </c>
    </row>
    <row r="364">
      <c r="J364">
        <f>IF(G364="","",IFERROR(IF(G364="infusing",IFERROR(LOOKUP(2,1/ISNUMBER(SEARCH(_lookup!$D$3:$D$4,H364)),_lookup!$E$3:$E$4),"INT"),VLOOKUP(G364,_lookup!$A$3:$B$14,2,FALSE)),""))</f>
        <v/>
      </c>
      <c r="K364">
        <f>IF(F364&lt;&gt;"weapon","",IF(G364="miscellaneous","1-4",IF(I364="","",IFERROR(VLOOKUP(I364&amp;"|"&amp;IF(LEFT(H364,2)="2H",2,1)&amp;"|"&amp;IF(G364="slashing",1,0),_lookup!$G$3:$H$18,2,FALSE),""))))</f>
        <v/>
      </c>
      <c r="L364">
        <f>IF(K364="","",IF(OR(G364="channeling",G364="infusing"),"Magical",IF(G364="blocking","Anti-Physical",IF(G364="warding","Anti-Magical","Physical"))))</f>
        <v/>
      </c>
      <c r="O364">
        <f>IF(F364&lt;&gt;"armor","","TBD")</f>
        <v/>
      </c>
      <c r="P364">
        <f>IF(O364="","",IF(OR(G364="channeling",G364="infusing"),"Magical",IF(G364="blocking","Anti-Physical",IF(G364="warding","Anti-Magical","Physical"))))</f>
        <v/>
      </c>
    </row>
    <row r="365">
      <c r="J365">
        <f>IF(G365="","",IFERROR(IF(G365="infusing",IFERROR(LOOKUP(2,1/ISNUMBER(SEARCH(_lookup!$D$3:$D$4,H365)),_lookup!$E$3:$E$4),"INT"),VLOOKUP(G365,_lookup!$A$3:$B$14,2,FALSE)),""))</f>
        <v/>
      </c>
      <c r="K365">
        <f>IF(F365&lt;&gt;"weapon","",IF(G365="miscellaneous","1-4",IF(I365="","",IFERROR(VLOOKUP(I365&amp;"|"&amp;IF(LEFT(H365,2)="2H",2,1)&amp;"|"&amp;IF(G365="slashing",1,0),_lookup!$G$3:$H$18,2,FALSE),""))))</f>
        <v/>
      </c>
      <c r="L365">
        <f>IF(K365="","",IF(OR(G365="channeling",G365="infusing"),"Magical",IF(G365="blocking","Anti-Physical",IF(G365="warding","Anti-Magical","Physical"))))</f>
        <v/>
      </c>
      <c r="O365">
        <f>IF(F365&lt;&gt;"armor","","TBD")</f>
        <v/>
      </c>
      <c r="P365">
        <f>IF(O365="","",IF(OR(G365="channeling",G365="infusing"),"Magical",IF(G365="blocking","Anti-Physical",IF(G365="warding","Anti-Magical","Physical"))))</f>
        <v/>
      </c>
    </row>
    <row r="366">
      <c r="J366">
        <f>IF(G366="","",IFERROR(IF(G366="infusing",IFERROR(LOOKUP(2,1/ISNUMBER(SEARCH(_lookup!$D$3:$D$4,H366)),_lookup!$E$3:$E$4),"INT"),VLOOKUP(G366,_lookup!$A$3:$B$14,2,FALSE)),""))</f>
        <v/>
      </c>
      <c r="K366">
        <f>IF(F366&lt;&gt;"weapon","",IF(G366="miscellaneous","1-4",IF(I366="","",IFERROR(VLOOKUP(I366&amp;"|"&amp;IF(LEFT(H366,2)="2H",2,1)&amp;"|"&amp;IF(G366="slashing",1,0),_lookup!$G$3:$H$18,2,FALSE),""))))</f>
        <v/>
      </c>
      <c r="L366">
        <f>IF(K366="","",IF(OR(G366="channeling",G366="infusing"),"Magical",IF(G366="blocking","Anti-Physical",IF(G366="warding","Anti-Magical","Physical"))))</f>
        <v/>
      </c>
      <c r="O366">
        <f>IF(F366&lt;&gt;"armor","","TBD")</f>
        <v/>
      </c>
      <c r="P366">
        <f>IF(O366="","",IF(OR(G366="channeling",G366="infusing"),"Magical",IF(G366="blocking","Anti-Physical",IF(G366="warding","Anti-Magical","Physical"))))</f>
        <v/>
      </c>
    </row>
    <row r="367">
      <c r="J367">
        <f>IF(G367="","",IFERROR(IF(G367="infusing",IFERROR(LOOKUP(2,1/ISNUMBER(SEARCH(_lookup!$D$3:$D$4,H367)),_lookup!$E$3:$E$4),"INT"),VLOOKUP(G367,_lookup!$A$3:$B$14,2,FALSE)),""))</f>
        <v/>
      </c>
      <c r="K367">
        <f>IF(F367&lt;&gt;"weapon","",IF(G367="miscellaneous","1-4",IF(I367="","",IFERROR(VLOOKUP(I367&amp;"|"&amp;IF(LEFT(H367,2)="2H",2,1)&amp;"|"&amp;IF(G367="slashing",1,0),_lookup!$G$3:$H$18,2,FALSE),""))))</f>
        <v/>
      </c>
      <c r="L367">
        <f>IF(K367="","",IF(OR(G367="channeling",G367="infusing"),"Magical",IF(G367="blocking","Anti-Physical",IF(G367="warding","Anti-Magical","Physical"))))</f>
        <v/>
      </c>
      <c r="O367">
        <f>IF(F367&lt;&gt;"armor","","TBD")</f>
        <v/>
      </c>
      <c r="P367">
        <f>IF(O367="","",IF(OR(G367="channeling",G367="infusing"),"Magical",IF(G367="blocking","Anti-Physical",IF(G367="warding","Anti-Magical","Physical"))))</f>
        <v/>
      </c>
    </row>
    <row r="368">
      <c r="J368">
        <f>IF(G368="","",IFERROR(IF(G368="infusing",IFERROR(LOOKUP(2,1/ISNUMBER(SEARCH(_lookup!$D$3:$D$4,H368)),_lookup!$E$3:$E$4),"INT"),VLOOKUP(G368,_lookup!$A$3:$B$14,2,FALSE)),""))</f>
        <v/>
      </c>
      <c r="K368">
        <f>IF(F368&lt;&gt;"weapon","",IF(G368="miscellaneous","1-4",IF(I368="","",IFERROR(VLOOKUP(I368&amp;"|"&amp;IF(LEFT(H368,2)="2H",2,1)&amp;"|"&amp;IF(G368="slashing",1,0),_lookup!$G$3:$H$18,2,FALSE),""))))</f>
        <v/>
      </c>
      <c r="L368">
        <f>IF(K368="","",IF(OR(G368="channeling",G368="infusing"),"Magical",IF(G368="blocking","Anti-Physical",IF(G368="warding","Anti-Magical","Physical"))))</f>
        <v/>
      </c>
      <c r="O368">
        <f>IF(F368&lt;&gt;"armor","","TBD")</f>
        <v/>
      </c>
      <c r="P368">
        <f>IF(O368="","",IF(OR(G368="channeling",G368="infusing"),"Magical",IF(G368="blocking","Anti-Physical",IF(G368="warding","Anti-Magical","Physical"))))</f>
        <v/>
      </c>
    </row>
    <row r="369">
      <c r="J369">
        <f>IF(G369="","",IFERROR(IF(G369="infusing",IFERROR(LOOKUP(2,1/ISNUMBER(SEARCH(_lookup!$D$3:$D$4,H369)),_lookup!$E$3:$E$4),"INT"),VLOOKUP(G369,_lookup!$A$3:$B$14,2,FALSE)),""))</f>
        <v/>
      </c>
      <c r="K369">
        <f>IF(F369&lt;&gt;"weapon","",IF(G369="miscellaneous","1-4",IF(I369="","",IFERROR(VLOOKUP(I369&amp;"|"&amp;IF(LEFT(H369,2)="2H",2,1)&amp;"|"&amp;IF(G369="slashing",1,0),_lookup!$G$3:$H$18,2,FALSE),""))))</f>
        <v/>
      </c>
      <c r="L369">
        <f>IF(K369="","",IF(OR(G369="channeling",G369="infusing"),"Magical",IF(G369="blocking","Anti-Physical",IF(G369="warding","Anti-Magical","Physical"))))</f>
        <v/>
      </c>
      <c r="O369">
        <f>IF(F369&lt;&gt;"armor","","TBD")</f>
        <v/>
      </c>
      <c r="P369">
        <f>IF(O369="","",IF(OR(G369="channeling",G369="infusing"),"Magical",IF(G369="blocking","Anti-Physical",IF(G369="warding","Anti-Magical","Physical"))))</f>
        <v/>
      </c>
    </row>
    <row r="370">
      <c r="J370">
        <f>IF(G370="","",IFERROR(IF(G370="infusing",IFERROR(LOOKUP(2,1/ISNUMBER(SEARCH(_lookup!$D$3:$D$4,H370)),_lookup!$E$3:$E$4),"INT"),VLOOKUP(G370,_lookup!$A$3:$B$14,2,FALSE)),""))</f>
        <v/>
      </c>
      <c r="K370">
        <f>IF(F370&lt;&gt;"weapon","",IF(G370="miscellaneous","1-4",IF(I370="","",IFERROR(VLOOKUP(I370&amp;"|"&amp;IF(LEFT(H370,2)="2H",2,1)&amp;"|"&amp;IF(G370="slashing",1,0),_lookup!$G$3:$H$18,2,FALSE),""))))</f>
        <v/>
      </c>
      <c r="L370">
        <f>IF(K370="","",IF(OR(G370="channeling",G370="infusing"),"Magical",IF(G370="blocking","Anti-Physical",IF(G370="warding","Anti-Magical","Physical"))))</f>
        <v/>
      </c>
      <c r="O370">
        <f>IF(F370&lt;&gt;"armor","","TBD")</f>
        <v/>
      </c>
      <c r="P370">
        <f>IF(O370="","",IF(OR(G370="channeling",G370="infusing"),"Magical",IF(G370="blocking","Anti-Physical",IF(G370="warding","Anti-Magical","Physical"))))</f>
        <v/>
      </c>
    </row>
    <row r="371">
      <c r="J371">
        <f>IF(G371="","",IFERROR(IF(G371="infusing",IFERROR(LOOKUP(2,1/ISNUMBER(SEARCH(_lookup!$D$3:$D$4,H371)),_lookup!$E$3:$E$4),"INT"),VLOOKUP(G371,_lookup!$A$3:$B$14,2,FALSE)),""))</f>
        <v/>
      </c>
      <c r="K371">
        <f>IF(F371&lt;&gt;"weapon","",IF(G371="miscellaneous","1-4",IF(I371="","",IFERROR(VLOOKUP(I371&amp;"|"&amp;IF(LEFT(H371,2)="2H",2,1)&amp;"|"&amp;IF(G371="slashing",1,0),_lookup!$G$3:$H$18,2,FALSE),""))))</f>
        <v/>
      </c>
      <c r="L371">
        <f>IF(K371="","",IF(OR(G371="channeling",G371="infusing"),"Magical",IF(G371="blocking","Anti-Physical",IF(G371="warding","Anti-Magical","Physical"))))</f>
        <v/>
      </c>
      <c r="O371">
        <f>IF(F371&lt;&gt;"armor","","TBD")</f>
        <v/>
      </c>
      <c r="P371">
        <f>IF(O371="","",IF(OR(G371="channeling",G371="infusing"),"Magical",IF(G371="blocking","Anti-Physical",IF(G371="warding","Anti-Magical","Physical"))))</f>
        <v/>
      </c>
    </row>
    <row r="372">
      <c r="J372">
        <f>IF(G372="","",IFERROR(IF(G372="infusing",IFERROR(LOOKUP(2,1/ISNUMBER(SEARCH(_lookup!$D$3:$D$4,H372)),_lookup!$E$3:$E$4),"INT"),VLOOKUP(G372,_lookup!$A$3:$B$14,2,FALSE)),""))</f>
        <v/>
      </c>
      <c r="K372">
        <f>IF(F372&lt;&gt;"weapon","",IF(G372="miscellaneous","1-4",IF(I372="","",IFERROR(VLOOKUP(I372&amp;"|"&amp;IF(LEFT(H372,2)="2H",2,1)&amp;"|"&amp;IF(G372="slashing",1,0),_lookup!$G$3:$H$18,2,FALSE),""))))</f>
        <v/>
      </c>
      <c r="L372">
        <f>IF(K372="","",IF(OR(G372="channeling",G372="infusing"),"Magical",IF(G372="blocking","Anti-Physical",IF(G372="warding","Anti-Magical","Physical"))))</f>
        <v/>
      </c>
      <c r="O372">
        <f>IF(F372&lt;&gt;"armor","","TBD")</f>
        <v/>
      </c>
      <c r="P372">
        <f>IF(O372="","",IF(OR(G372="channeling",G372="infusing"),"Magical",IF(G372="blocking","Anti-Physical",IF(G372="warding","Anti-Magical","Physical"))))</f>
        <v/>
      </c>
    </row>
    <row r="373">
      <c r="J373">
        <f>IF(G373="","",IFERROR(IF(G373="infusing",IFERROR(LOOKUP(2,1/ISNUMBER(SEARCH(_lookup!$D$3:$D$4,H373)),_lookup!$E$3:$E$4),"INT"),VLOOKUP(G373,_lookup!$A$3:$B$14,2,FALSE)),""))</f>
        <v/>
      </c>
      <c r="K373">
        <f>IF(F373&lt;&gt;"weapon","",IF(G373="miscellaneous","1-4",IF(I373="","",IFERROR(VLOOKUP(I373&amp;"|"&amp;IF(LEFT(H373,2)="2H",2,1)&amp;"|"&amp;IF(G373="slashing",1,0),_lookup!$G$3:$H$18,2,FALSE),""))))</f>
        <v/>
      </c>
      <c r="L373">
        <f>IF(K373="","",IF(OR(G373="channeling",G373="infusing"),"Magical",IF(G373="blocking","Anti-Physical",IF(G373="warding","Anti-Magical","Physical"))))</f>
        <v/>
      </c>
      <c r="O373">
        <f>IF(F373&lt;&gt;"armor","","TBD")</f>
        <v/>
      </c>
      <c r="P373">
        <f>IF(O373="","",IF(OR(G373="channeling",G373="infusing"),"Magical",IF(G373="blocking","Anti-Physical",IF(G373="warding","Anti-Magical","Physical"))))</f>
        <v/>
      </c>
    </row>
    <row r="374">
      <c r="J374">
        <f>IF(G374="","",IFERROR(IF(G374="infusing",IFERROR(LOOKUP(2,1/ISNUMBER(SEARCH(_lookup!$D$3:$D$4,H374)),_lookup!$E$3:$E$4),"INT"),VLOOKUP(G374,_lookup!$A$3:$B$14,2,FALSE)),""))</f>
        <v/>
      </c>
      <c r="K374">
        <f>IF(F374&lt;&gt;"weapon","",IF(G374="miscellaneous","1-4",IF(I374="","",IFERROR(VLOOKUP(I374&amp;"|"&amp;IF(LEFT(H374,2)="2H",2,1)&amp;"|"&amp;IF(G374="slashing",1,0),_lookup!$G$3:$H$18,2,FALSE),""))))</f>
        <v/>
      </c>
      <c r="L374">
        <f>IF(K374="","",IF(OR(G374="channeling",G374="infusing"),"Magical",IF(G374="blocking","Anti-Physical",IF(G374="warding","Anti-Magical","Physical"))))</f>
        <v/>
      </c>
      <c r="O374">
        <f>IF(F374&lt;&gt;"armor","","TBD")</f>
        <v/>
      </c>
      <c r="P374">
        <f>IF(O374="","",IF(OR(G374="channeling",G374="infusing"),"Magical",IF(G374="blocking","Anti-Physical",IF(G374="warding","Anti-Magical","Physical"))))</f>
        <v/>
      </c>
    </row>
    <row r="375">
      <c r="J375">
        <f>IF(G375="","",IFERROR(IF(G375="infusing",IFERROR(LOOKUP(2,1/ISNUMBER(SEARCH(_lookup!$D$3:$D$4,H375)),_lookup!$E$3:$E$4),"INT"),VLOOKUP(G375,_lookup!$A$3:$B$14,2,FALSE)),""))</f>
        <v/>
      </c>
      <c r="K375">
        <f>IF(F375&lt;&gt;"weapon","",IF(G375="miscellaneous","1-4",IF(I375="","",IFERROR(VLOOKUP(I375&amp;"|"&amp;IF(LEFT(H375,2)="2H",2,1)&amp;"|"&amp;IF(G375="slashing",1,0),_lookup!$G$3:$H$18,2,FALSE),""))))</f>
        <v/>
      </c>
      <c r="L375">
        <f>IF(K375="","",IF(OR(G375="channeling",G375="infusing"),"Magical",IF(G375="blocking","Anti-Physical",IF(G375="warding","Anti-Magical","Physical"))))</f>
        <v/>
      </c>
      <c r="O375">
        <f>IF(F375&lt;&gt;"armor","","TBD")</f>
        <v/>
      </c>
      <c r="P375">
        <f>IF(O375="","",IF(OR(G375="channeling",G375="infusing"),"Magical",IF(G375="blocking","Anti-Physical",IF(G375="warding","Anti-Magical","Physical"))))</f>
        <v/>
      </c>
    </row>
    <row r="376">
      <c r="J376">
        <f>IF(G376="","",IFERROR(IF(G376="infusing",IFERROR(LOOKUP(2,1/ISNUMBER(SEARCH(_lookup!$D$3:$D$4,H376)),_lookup!$E$3:$E$4),"INT"),VLOOKUP(G376,_lookup!$A$3:$B$14,2,FALSE)),""))</f>
        <v/>
      </c>
      <c r="K376">
        <f>IF(F376&lt;&gt;"weapon","",IF(G376="miscellaneous","1-4",IF(I376="","",IFERROR(VLOOKUP(I376&amp;"|"&amp;IF(LEFT(H376,2)="2H",2,1)&amp;"|"&amp;IF(G376="slashing",1,0),_lookup!$G$3:$H$18,2,FALSE),""))))</f>
        <v/>
      </c>
      <c r="L376">
        <f>IF(K376="","",IF(OR(G376="channeling",G376="infusing"),"Magical",IF(G376="blocking","Anti-Physical",IF(G376="warding","Anti-Magical","Physical"))))</f>
        <v/>
      </c>
      <c r="O376">
        <f>IF(F376&lt;&gt;"armor","","TBD")</f>
        <v/>
      </c>
      <c r="P376">
        <f>IF(O376="","",IF(OR(G376="channeling",G376="infusing"),"Magical",IF(G376="blocking","Anti-Physical",IF(G376="warding","Anti-Magical","Physical"))))</f>
        <v/>
      </c>
    </row>
    <row r="377">
      <c r="J377">
        <f>IF(G377="","",IFERROR(IF(G377="infusing",IFERROR(LOOKUP(2,1/ISNUMBER(SEARCH(_lookup!$D$3:$D$4,H377)),_lookup!$E$3:$E$4),"INT"),VLOOKUP(G377,_lookup!$A$3:$B$14,2,FALSE)),""))</f>
        <v/>
      </c>
      <c r="K377">
        <f>IF(F377&lt;&gt;"weapon","",IF(G377="miscellaneous","1-4",IF(I377="","",IFERROR(VLOOKUP(I377&amp;"|"&amp;IF(LEFT(H377,2)="2H",2,1)&amp;"|"&amp;IF(G377="slashing",1,0),_lookup!$G$3:$H$18,2,FALSE),""))))</f>
        <v/>
      </c>
      <c r="L377">
        <f>IF(K377="","",IF(OR(G377="channeling",G377="infusing"),"Magical",IF(G377="blocking","Anti-Physical",IF(G377="warding","Anti-Magical","Physical"))))</f>
        <v/>
      </c>
      <c r="O377">
        <f>IF(F377&lt;&gt;"armor","","TBD")</f>
        <v/>
      </c>
      <c r="P377">
        <f>IF(O377="","",IF(OR(G377="channeling",G377="infusing"),"Magical",IF(G377="blocking","Anti-Physical",IF(G377="warding","Anti-Magical","Physical"))))</f>
        <v/>
      </c>
    </row>
    <row r="378">
      <c r="J378">
        <f>IF(G378="","",IFERROR(IF(G378="infusing",IFERROR(LOOKUP(2,1/ISNUMBER(SEARCH(_lookup!$D$3:$D$4,H378)),_lookup!$E$3:$E$4),"INT"),VLOOKUP(G378,_lookup!$A$3:$B$14,2,FALSE)),""))</f>
        <v/>
      </c>
      <c r="K378">
        <f>IF(F378&lt;&gt;"weapon","",IF(G378="miscellaneous","1-4",IF(I378="","",IFERROR(VLOOKUP(I378&amp;"|"&amp;IF(LEFT(H378,2)="2H",2,1)&amp;"|"&amp;IF(G378="slashing",1,0),_lookup!$G$3:$H$18,2,FALSE),""))))</f>
        <v/>
      </c>
      <c r="L378">
        <f>IF(K378="","",IF(OR(G378="channeling",G378="infusing"),"Magical",IF(G378="blocking","Anti-Physical",IF(G378="warding","Anti-Magical","Physical"))))</f>
        <v/>
      </c>
      <c r="O378">
        <f>IF(F378&lt;&gt;"armor","","TBD")</f>
        <v/>
      </c>
      <c r="P378">
        <f>IF(O378="","",IF(OR(G378="channeling",G378="infusing"),"Magical",IF(G378="blocking","Anti-Physical",IF(G378="warding","Anti-Magical","Physical"))))</f>
        <v/>
      </c>
    </row>
    <row r="379">
      <c r="J379">
        <f>IF(G379="","",IFERROR(IF(G379="infusing",IFERROR(LOOKUP(2,1/ISNUMBER(SEARCH(_lookup!$D$3:$D$4,H379)),_lookup!$E$3:$E$4),"INT"),VLOOKUP(G379,_lookup!$A$3:$B$14,2,FALSE)),""))</f>
        <v/>
      </c>
      <c r="K379">
        <f>IF(F379&lt;&gt;"weapon","",IF(G379="miscellaneous","1-4",IF(I379="","",IFERROR(VLOOKUP(I379&amp;"|"&amp;IF(LEFT(H379,2)="2H",2,1)&amp;"|"&amp;IF(G379="slashing",1,0),_lookup!$G$3:$H$18,2,FALSE),""))))</f>
        <v/>
      </c>
      <c r="L379">
        <f>IF(K379="","",IF(OR(G379="channeling",G379="infusing"),"Magical",IF(G379="blocking","Anti-Physical",IF(G379="warding","Anti-Magical","Physical"))))</f>
        <v/>
      </c>
      <c r="O379">
        <f>IF(F379&lt;&gt;"armor","","TBD")</f>
        <v/>
      </c>
      <c r="P379">
        <f>IF(O379="","",IF(OR(G379="channeling",G379="infusing"),"Magical",IF(G379="blocking","Anti-Physical",IF(G379="warding","Anti-Magical","Physical"))))</f>
        <v/>
      </c>
    </row>
    <row r="380">
      <c r="J380">
        <f>IF(G380="","",IFERROR(IF(G380="infusing",IFERROR(LOOKUP(2,1/ISNUMBER(SEARCH(_lookup!$D$3:$D$4,H380)),_lookup!$E$3:$E$4),"INT"),VLOOKUP(G380,_lookup!$A$3:$B$14,2,FALSE)),""))</f>
        <v/>
      </c>
      <c r="K380">
        <f>IF(F380&lt;&gt;"weapon","",IF(G380="miscellaneous","1-4",IF(I380="","",IFERROR(VLOOKUP(I380&amp;"|"&amp;IF(LEFT(H380,2)="2H",2,1)&amp;"|"&amp;IF(G380="slashing",1,0),_lookup!$G$3:$H$18,2,FALSE),""))))</f>
        <v/>
      </c>
      <c r="L380">
        <f>IF(K380="","",IF(OR(G380="channeling",G380="infusing"),"Magical",IF(G380="blocking","Anti-Physical",IF(G380="warding","Anti-Magical","Physical"))))</f>
        <v/>
      </c>
      <c r="O380">
        <f>IF(F380&lt;&gt;"armor","","TBD")</f>
        <v/>
      </c>
      <c r="P380">
        <f>IF(O380="","",IF(OR(G380="channeling",G380="infusing"),"Magical",IF(G380="blocking","Anti-Physical",IF(G380="warding","Anti-Magical","Physical"))))</f>
        <v/>
      </c>
    </row>
    <row r="381">
      <c r="J381">
        <f>IF(G381="","",IFERROR(IF(G381="infusing",IFERROR(LOOKUP(2,1/ISNUMBER(SEARCH(_lookup!$D$3:$D$4,H381)),_lookup!$E$3:$E$4),"INT"),VLOOKUP(G381,_lookup!$A$3:$B$14,2,FALSE)),""))</f>
        <v/>
      </c>
      <c r="K381">
        <f>IF(F381&lt;&gt;"weapon","",IF(G381="miscellaneous","1-4",IF(I381="","",IFERROR(VLOOKUP(I381&amp;"|"&amp;IF(LEFT(H381,2)="2H",2,1)&amp;"|"&amp;IF(G381="slashing",1,0),_lookup!$G$3:$H$18,2,FALSE),""))))</f>
        <v/>
      </c>
      <c r="L381">
        <f>IF(K381="","",IF(OR(G381="channeling",G381="infusing"),"Magical",IF(G381="blocking","Anti-Physical",IF(G381="warding","Anti-Magical","Physical"))))</f>
        <v/>
      </c>
      <c r="O381">
        <f>IF(F381&lt;&gt;"armor","","TBD")</f>
        <v/>
      </c>
      <c r="P381">
        <f>IF(O381="","",IF(OR(G381="channeling",G381="infusing"),"Magical",IF(G381="blocking","Anti-Physical",IF(G381="warding","Anti-Magical","Physical"))))</f>
        <v/>
      </c>
    </row>
    <row r="382">
      <c r="J382">
        <f>IF(G382="","",IFERROR(IF(G382="infusing",IFERROR(LOOKUP(2,1/ISNUMBER(SEARCH(_lookup!$D$3:$D$4,H382)),_lookup!$E$3:$E$4),"INT"),VLOOKUP(G382,_lookup!$A$3:$B$14,2,FALSE)),""))</f>
        <v/>
      </c>
      <c r="K382">
        <f>IF(F382&lt;&gt;"weapon","",IF(G382="miscellaneous","1-4",IF(I382="","",IFERROR(VLOOKUP(I382&amp;"|"&amp;IF(LEFT(H382,2)="2H",2,1)&amp;"|"&amp;IF(G382="slashing",1,0),_lookup!$G$3:$H$18,2,FALSE),""))))</f>
        <v/>
      </c>
      <c r="L382">
        <f>IF(K382="","",IF(OR(G382="channeling",G382="infusing"),"Magical",IF(G382="blocking","Anti-Physical",IF(G382="warding","Anti-Magical","Physical"))))</f>
        <v/>
      </c>
      <c r="O382">
        <f>IF(F382&lt;&gt;"armor","","TBD")</f>
        <v/>
      </c>
      <c r="P382">
        <f>IF(O382="","",IF(OR(G382="channeling",G382="infusing"),"Magical",IF(G382="blocking","Anti-Physical",IF(G382="warding","Anti-Magical","Physical"))))</f>
        <v/>
      </c>
    </row>
    <row r="383">
      <c r="J383">
        <f>IF(G383="","",IFERROR(IF(G383="infusing",IFERROR(LOOKUP(2,1/ISNUMBER(SEARCH(_lookup!$D$3:$D$4,H383)),_lookup!$E$3:$E$4),"INT"),VLOOKUP(G383,_lookup!$A$3:$B$14,2,FALSE)),""))</f>
        <v/>
      </c>
      <c r="K383">
        <f>IF(F383&lt;&gt;"weapon","",IF(G383="miscellaneous","1-4",IF(I383="","",IFERROR(VLOOKUP(I383&amp;"|"&amp;IF(LEFT(H383,2)="2H",2,1)&amp;"|"&amp;IF(G383="slashing",1,0),_lookup!$G$3:$H$18,2,FALSE),""))))</f>
        <v/>
      </c>
      <c r="L383">
        <f>IF(K383="","",IF(OR(G383="channeling",G383="infusing"),"Magical",IF(G383="blocking","Anti-Physical",IF(G383="warding","Anti-Magical","Physical"))))</f>
        <v/>
      </c>
      <c r="O383">
        <f>IF(F383&lt;&gt;"armor","","TBD")</f>
        <v/>
      </c>
      <c r="P383">
        <f>IF(O383="","",IF(OR(G383="channeling",G383="infusing"),"Magical",IF(G383="blocking","Anti-Physical",IF(G383="warding","Anti-Magical","Physical"))))</f>
        <v/>
      </c>
    </row>
    <row r="384">
      <c r="J384">
        <f>IF(G384="","",IFERROR(IF(G384="infusing",IFERROR(LOOKUP(2,1/ISNUMBER(SEARCH(_lookup!$D$3:$D$4,H384)),_lookup!$E$3:$E$4),"INT"),VLOOKUP(G384,_lookup!$A$3:$B$14,2,FALSE)),""))</f>
        <v/>
      </c>
      <c r="K384">
        <f>IF(F384&lt;&gt;"weapon","",IF(G384="miscellaneous","1-4",IF(I384="","",IFERROR(VLOOKUP(I384&amp;"|"&amp;IF(LEFT(H384,2)="2H",2,1)&amp;"|"&amp;IF(G384="slashing",1,0),_lookup!$G$3:$H$18,2,FALSE),""))))</f>
        <v/>
      </c>
      <c r="L384">
        <f>IF(K384="","",IF(OR(G384="channeling",G384="infusing"),"Magical",IF(G384="blocking","Anti-Physical",IF(G384="warding","Anti-Magical","Physical"))))</f>
        <v/>
      </c>
      <c r="O384">
        <f>IF(F384&lt;&gt;"armor","","TBD")</f>
        <v/>
      </c>
      <c r="P384">
        <f>IF(O384="","",IF(OR(G384="channeling",G384="infusing"),"Magical",IF(G384="blocking","Anti-Physical",IF(G384="warding","Anti-Magical","Physical"))))</f>
        <v/>
      </c>
    </row>
    <row r="385">
      <c r="J385">
        <f>IF(G385="","",IFERROR(IF(G385="infusing",IFERROR(LOOKUP(2,1/ISNUMBER(SEARCH(_lookup!$D$3:$D$4,H385)),_lookup!$E$3:$E$4),"INT"),VLOOKUP(G385,_lookup!$A$3:$B$14,2,FALSE)),""))</f>
        <v/>
      </c>
      <c r="K385">
        <f>IF(F385&lt;&gt;"weapon","",IF(G385="miscellaneous","1-4",IF(I385="","",IFERROR(VLOOKUP(I385&amp;"|"&amp;IF(LEFT(H385,2)="2H",2,1)&amp;"|"&amp;IF(G385="slashing",1,0),_lookup!$G$3:$H$18,2,FALSE),""))))</f>
        <v/>
      </c>
      <c r="L385">
        <f>IF(K385="","",IF(OR(G385="channeling",G385="infusing"),"Magical",IF(G385="blocking","Anti-Physical",IF(G385="warding","Anti-Magical","Physical"))))</f>
        <v/>
      </c>
      <c r="O385">
        <f>IF(F385&lt;&gt;"armor","","TBD")</f>
        <v/>
      </c>
      <c r="P385">
        <f>IF(O385="","",IF(OR(G385="channeling",G385="infusing"),"Magical",IF(G385="blocking","Anti-Physical",IF(G385="warding","Anti-Magical","Physical"))))</f>
        <v/>
      </c>
    </row>
    <row r="386">
      <c r="J386">
        <f>IF(G386="","",IFERROR(IF(G386="infusing",IFERROR(LOOKUP(2,1/ISNUMBER(SEARCH(_lookup!$D$3:$D$4,H386)),_lookup!$E$3:$E$4),"INT"),VLOOKUP(G386,_lookup!$A$3:$B$14,2,FALSE)),""))</f>
        <v/>
      </c>
      <c r="K386">
        <f>IF(F386&lt;&gt;"weapon","",IF(G386="miscellaneous","1-4",IF(I386="","",IFERROR(VLOOKUP(I386&amp;"|"&amp;IF(LEFT(H386,2)="2H",2,1)&amp;"|"&amp;IF(G386="slashing",1,0),_lookup!$G$3:$H$18,2,FALSE),""))))</f>
        <v/>
      </c>
      <c r="L386">
        <f>IF(K386="","",IF(OR(G386="channeling",G386="infusing"),"Magical",IF(G386="blocking","Anti-Physical",IF(G386="warding","Anti-Magical","Physical"))))</f>
        <v/>
      </c>
      <c r="O386">
        <f>IF(F386&lt;&gt;"armor","","TBD")</f>
        <v/>
      </c>
      <c r="P386">
        <f>IF(O386="","",IF(OR(G386="channeling",G386="infusing"),"Magical",IF(G386="blocking","Anti-Physical",IF(G386="warding","Anti-Magical","Physical"))))</f>
        <v/>
      </c>
    </row>
    <row r="387">
      <c r="J387">
        <f>IF(G387="","",IFERROR(IF(G387="infusing",IFERROR(LOOKUP(2,1/ISNUMBER(SEARCH(_lookup!$D$3:$D$4,H387)),_lookup!$E$3:$E$4),"INT"),VLOOKUP(G387,_lookup!$A$3:$B$14,2,FALSE)),""))</f>
        <v/>
      </c>
      <c r="K387">
        <f>IF(F387&lt;&gt;"weapon","",IF(G387="miscellaneous","1-4",IF(I387="","",IFERROR(VLOOKUP(I387&amp;"|"&amp;IF(LEFT(H387,2)="2H",2,1)&amp;"|"&amp;IF(G387="slashing",1,0),_lookup!$G$3:$H$18,2,FALSE),""))))</f>
        <v/>
      </c>
      <c r="L387">
        <f>IF(K387="","",IF(OR(G387="channeling",G387="infusing"),"Magical",IF(G387="blocking","Anti-Physical",IF(G387="warding","Anti-Magical","Physical"))))</f>
        <v/>
      </c>
      <c r="O387">
        <f>IF(F387&lt;&gt;"armor","","TBD")</f>
        <v/>
      </c>
      <c r="P387">
        <f>IF(O387="","",IF(OR(G387="channeling",G387="infusing"),"Magical",IF(G387="blocking","Anti-Physical",IF(G387="warding","Anti-Magical","Physical"))))</f>
        <v/>
      </c>
    </row>
    <row r="388">
      <c r="J388">
        <f>IF(G388="","",IFERROR(IF(G388="infusing",IFERROR(LOOKUP(2,1/ISNUMBER(SEARCH(_lookup!$D$3:$D$4,H388)),_lookup!$E$3:$E$4),"INT"),VLOOKUP(G388,_lookup!$A$3:$B$14,2,FALSE)),""))</f>
        <v/>
      </c>
      <c r="K388">
        <f>IF(F388&lt;&gt;"weapon","",IF(G388="miscellaneous","1-4",IF(I388="","",IFERROR(VLOOKUP(I388&amp;"|"&amp;IF(LEFT(H388,2)="2H",2,1)&amp;"|"&amp;IF(G388="slashing",1,0),_lookup!$G$3:$H$18,2,FALSE),""))))</f>
        <v/>
      </c>
      <c r="L388">
        <f>IF(K388="","",IF(OR(G388="channeling",G388="infusing"),"Magical",IF(G388="blocking","Anti-Physical",IF(G388="warding","Anti-Magical","Physical"))))</f>
        <v/>
      </c>
      <c r="O388">
        <f>IF(F388&lt;&gt;"armor","","TBD")</f>
        <v/>
      </c>
      <c r="P388">
        <f>IF(O388="","",IF(OR(G388="channeling",G388="infusing"),"Magical",IF(G388="blocking","Anti-Physical",IF(G388="warding","Anti-Magical","Physical"))))</f>
        <v/>
      </c>
    </row>
    <row r="389">
      <c r="J389">
        <f>IF(G389="","",IFERROR(IF(G389="infusing",IFERROR(LOOKUP(2,1/ISNUMBER(SEARCH(_lookup!$D$3:$D$4,H389)),_lookup!$E$3:$E$4),"INT"),VLOOKUP(G389,_lookup!$A$3:$B$14,2,FALSE)),""))</f>
        <v/>
      </c>
      <c r="K389">
        <f>IF(F389&lt;&gt;"weapon","",IF(G389="miscellaneous","1-4",IF(I389="","",IFERROR(VLOOKUP(I389&amp;"|"&amp;IF(LEFT(H389,2)="2H",2,1)&amp;"|"&amp;IF(G389="slashing",1,0),_lookup!$G$3:$H$18,2,FALSE),""))))</f>
        <v/>
      </c>
      <c r="L389">
        <f>IF(K389="","",IF(OR(G389="channeling",G389="infusing"),"Magical",IF(G389="blocking","Anti-Physical",IF(G389="warding","Anti-Magical","Physical"))))</f>
        <v/>
      </c>
      <c r="O389">
        <f>IF(F389&lt;&gt;"armor","","TBD")</f>
        <v/>
      </c>
      <c r="P389">
        <f>IF(O389="","",IF(OR(G389="channeling",G389="infusing"),"Magical",IF(G389="blocking","Anti-Physical",IF(G389="warding","Anti-Magical","Physical"))))</f>
        <v/>
      </c>
    </row>
    <row r="390">
      <c r="J390">
        <f>IF(G390="","",IFERROR(IF(G390="infusing",IFERROR(LOOKUP(2,1/ISNUMBER(SEARCH(_lookup!$D$3:$D$4,H390)),_lookup!$E$3:$E$4),"INT"),VLOOKUP(G390,_lookup!$A$3:$B$14,2,FALSE)),""))</f>
        <v/>
      </c>
      <c r="K390">
        <f>IF(F390&lt;&gt;"weapon","",IF(G390="miscellaneous","1-4",IF(I390="","",IFERROR(VLOOKUP(I390&amp;"|"&amp;IF(LEFT(H390,2)="2H",2,1)&amp;"|"&amp;IF(G390="slashing",1,0),_lookup!$G$3:$H$18,2,FALSE),""))))</f>
        <v/>
      </c>
      <c r="L390">
        <f>IF(K390="","",IF(OR(G390="channeling",G390="infusing"),"Magical",IF(G390="blocking","Anti-Physical",IF(G390="warding","Anti-Magical","Physical"))))</f>
        <v/>
      </c>
      <c r="O390">
        <f>IF(F390&lt;&gt;"armor","","TBD")</f>
        <v/>
      </c>
      <c r="P390">
        <f>IF(O390="","",IF(OR(G390="channeling",G390="infusing"),"Magical",IF(G390="blocking","Anti-Physical",IF(G390="warding","Anti-Magical","Physical"))))</f>
        <v/>
      </c>
    </row>
    <row r="391">
      <c r="J391">
        <f>IF(G391="","",IFERROR(IF(G391="infusing",IFERROR(LOOKUP(2,1/ISNUMBER(SEARCH(_lookup!$D$3:$D$4,H391)),_lookup!$E$3:$E$4),"INT"),VLOOKUP(G391,_lookup!$A$3:$B$14,2,FALSE)),""))</f>
        <v/>
      </c>
      <c r="K391">
        <f>IF(F391&lt;&gt;"weapon","",IF(G391="miscellaneous","1-4",IF(I391="","",IFERROR(VLOOKUP(I391&amp;"|"&amp;IF(LEFT(H391,2)="2H",2,1)&amp;"|"&amp;IF(G391="slashing",1,0),_lookup!$G$3:$H$18,2,FALSE),""))))</f>
        <v/>
      </c>
      <c r="L391">
        <f>IF(K391="","",IF(OR(G391="channeling",G391="infusing"),"Magical",IF(G391="blocking","Anti-Physical",IF(G391="warding","Anti-Magical","Physical"))))</f>
        <v/>
      </c>
      <c r="O391">
        <f>IF(F391&lt;&gt;"armor","","TBD")</f>
        <v/>
      </c>
      <c r="P391">
        <f>IF(O391="","",IF(OR(G391="channeling",G391="infusing"),"Magical",IF(G391="blocking","Anti-Physical",IF(G391="warding","Anti-Magical","Physical"))))</f>
        <v/>
      </c>
    </row>
    <row r="392">
      <c r="J392">
        <f>IF(G392="","",IFERROR(IF(G392="infusing",IFERROR(LOOKUP(2,1/ISNUMBER(SEARCH(_lookup!$D$3:$D$4,H392)),_lookup!$E$3:$E$4),"INT"),VLOOKUP(G392,_lookup!$A$3:$B$14,2,FALSE)),""))</f>
        <v/>
      </c>
      <c r="K392">
        <f>IF(F392&lt;&gt;"weapon","",IF(G392="miscellaneous","1-4",IF(I392="","",IFERROR(VLOOKUP(I392&amp;"|"&amp;IF(LEFT(H392,2)="2H",2,1)&amp;"|"&amp;IF(G392="slashing",1,0),_lookup!$G$3:$H$18,2,FALSE),""))))</f>
        <v/>
      </c>
      <c r="L392">
        <f>IF(K392="","",IF(OR(G392="channeling",G392="infusing"),"Magical",IF(G392="blocking","Anti-Physical",IF(G392="warding","Anti-Magical","Physical"))))</f>
        <v/>
      </c>
      <c r="O392">
        <f>IF(F392&lt;&gt;"armor","","TBD")</f>
        <v/>
      </c>
      <c r="P392">
        <f>IF(O392="","",IF(OR(G392="channeling",G392="infusing"),"Magical",IF(G392="blocking","Anti-Physical",IF(G392="warding","Anti-Magical","Physical"))))</f>
        <v/>
      </c>
    </row>
    <row r="393">
      <c r="J393">
        <f>IF(G393="","",IFERROR(IF(G393="infusing",IFERROR(LOOKUP(2,1/ISNUMBER(SEARCH(_lookup!$D$3:$D$4,H393)),_lookup!$E$3:$E$4),"INT"),VLOOKUP(G393,_lookup!$A$3:$B$14,2,FALSE)),""))</f>
        <v/>
      </c>
      <c r="K393">
        <f>IF(F393&lt;&gt;"weapon","",IF(G393="miscellaneous","1-4",IF(I393="","",IFERROR(VLOOKUP(I393&amp;"|"&amp;IF(LEFT(H393,2)="2H",2,1)&amp;"|"&amp;IF(G393="slashing",1,0),_lookup!$G$3:$H$18,2,FALSE),""))))</f>
        <v/>
      </c>
      <c r="L393">
        <f>IF(K393="","",IF(OR(G393="channeling",G393="infusing"),"Magical",IF(G393="blocking","Anti-Physical",IF(G393="warding","Anti-Magical","Physical"))))</f>
        <v/>
      </c>
      <c r="O393">
        <f>IF(F393&lt;&gt;"armor","","TBD")</f>
        <v/>
      </c>
      <c r="P393">
        <f>IF(O393="","",IF(OR(G393="channeling",G393="infusing"),"Magical",IF(G393="blocking","Anti-Physical",IF(G393="warding","Anti-Magical","Physical"))))</f>
        <v/>
      </c>
    </row>
    <row r="394">
      <c r="J394">
        <f>IF(G394="","",IFERROR(IF(G394="infusing",IFERROR(LOOKUP(2,1/ISNUMBER(SEARCH(_lookup!$D$3:$D$4,H394)),_lookup!$E$3:$E$4),"INT"),VLOOKUP(G394,_lookup!$A$3:$B$14,2,FALSE)),""))</f>
        <v/>
      </c>
      <c r="K394">
        <f>IF(F394&lt;&gt;"weapon","",IF(G394="miscellaneous","1-4",IF(I394="","",IFERROR(VLOOKUP(I394&amp;"|"&amp;IF(LEFT(H394,2)="2H",2,1)&amp;"|"&amp;IF(G394="slashing",1,0),_lookup!$G$3:$H$18,2,FALSE),""))))</f>
        <v/>
      </c>
      <c r="L394">
        <f>IF(K394="","",IF(OR(G394="channeling",G394="infusing"),"Magical",IF(G394="blocking","Anti-Physical",IF(G394="warding","Anti-Magical","Physical"))))</f>
        <v/>
      </c>
      <c r="O394">
        <f>IF(F394&lt;&gt;"armor","","TBD")</f>
        <v/>
      </c>
      <c r="P394">
        <f>IF(O394="","",IF(OR(G394="channeling",G394="infusing"),"Magical",IF(G394="blocking","Anti-Physical",IF(G394="warding","Anti-Magical","Physical"))))</f>
        <v/>
      </c>
    </row>
    <row r="395">
      <c r="J395">
        <f>IF(G395="","",IFERROR(IF(G395="infusing",IFERROR(LOOKUP(2,1/ISNUMBER(SEARCH(_lookup!$D$3:$D$4,H395)),_lookup!$E$3:$E$4),"INT"),VLOOKUP(G395,_lookup!$A$3:$B$14,2,FALSE)),""))</f>
        <v/>
      </c>
      <c r="K395">
        <f>IF(F395&lt;&gt;"weapon","",IF(G395="miscellaneous","1-4",IF(I395="","",IFERROR(VLOOKUP(I395&amp;"|"&amp;IF(LEFT(H395,2)="2H",2,1)&amp;"|"&amp;IF(G395="slashing",1,0),_lookup!$G$3:$H$18,2,FALSE),""))))</f>
        <v/>
      </c>
      <c r="L395">
        <f>IF(K395="","",IF(OR(G395="channeling",G395="infusing"),"Magical",IF(G395="blocking","Anti-Physical",IF(G395="warding","Anti-Magical","Physical"))))</f>
        <v/>
      </c>
      <c r="O395">
        <f>IF(F395&lt;&gt;"armor","","TBD")</f>
        <v/>
      </c>
      <c r="P395">
        <f>IF(O395="","",IF(OR(G395="channeling",G395="infusing"),"Magical",IF(G395="blocking","Anti-Physical",IF(G395="warding","Anti-Magical","Physical"))))</f>
        <v/>
      </c>
    </row>
    <row r="396">
      <c r="J396">
        <f>IF(G396="","",IFERROR(IF(G396="infusing",IFERROR(LOOKUP(2,1/ISNUMBER(SEARCH(_lookup!$D$3:$D$4,H396)),_lookup!$E$3:$E$4),"INT"),VLOOKUP(G396,_lookup!$A$3:$B$14,2,FALSE)),""))</f>
        <v/>
      </c>
      <c r="K396">
        <f>IF(F396&lt;&gt;"weapon","",IF(G396="miscellaneous","1-4",IF(I396="","",IFERROR(VLOOKUP(I396&amp;"|"&amp;IF(LEFT(H396,2)="2H",2,1)&amp;"|"&amp;IF(G396="slashing",1,0),_lookup!$G$3:$H$18,2,FALSE),""))))</f>
        <v/>
      </c>
      <c r="L396">
        <f>IF(K396="","",IF(OR(G396="channeling",G396="infusing"),"Magical",IF(G396="blocking","Anti-Physical",IF(G396="warding","Anti-Magical","Physical"))))</f>
        <v/>
      </c>
      <c r="O396">
        <f>IF(F396&lt;&gt;"armor","","TBD")</f>
        <v/>
      </c>
      <c r="P396">
        <f>IF(O396="","",IF(OR(G396="channeling",G396="infusing"),"Magical",IF(G396="blocking","Anti-Physical",IF(G396="warding","Anti-Magical","Physical"))))</f>
        <v/>
      </c>
    </row>
    <row r="397">
      <c r="J397">
        <f>IF(G397="","",IFERROR(IF(G397="infusing",IFERROR(LOOKUP(2,1/ISNUMBER(SEARCH(_lookup!$D$3:$D$4,H397)),_lookup!$E$3:$E$4),"INT"),VLOOKUP(G397,_lookup!$A$3:$B$14,2,FALSE)),""))</f>
        <v/>
      </c>
      <c r="K397">
        <f>IF(F397&lt;&gt;"weapon","",IF(G397="miscellaneous","1-4",IF(I397="","",IFERROR(VLOOKUP(I397&amp;"|"&amp;IF(LEFT(H397,2)="2H",2,1)&amp;"|"&amp;IF(G397="slashing",1,0),_lookup!$G$3:$H$18,2,FALSE),""))))</f>
        <v/>
      </c>
      <c r="L397">
        <f>IF(K397="","",IF(OR(G397="channeling",G397="infusing"),"Magical",IF(G397="blocking","Anti-Physical",IF(G397="warding","Anti-Magical","Physical"))))</f>
        <v/>
      </c>
      <c r="O397">
        <f>IF(F397&lt;&gt;"armor","","TBD")</f>
        <v/>
      </c>
      <c r="P397">
        <f>IF(O397="","",IF(OR(G397="channeling",G397="infusing"),"Magical",IF(G397="blocking","Anti-Physical",IF(G397="warding","Anti-Magical","Physical"))))</f>
        <v/>
      </c>
    </row>
    <row r="398">
      <c r="J398">
        <f>IF(G398="","",IFERROR(IF(G398="infusing",IFERROR(LOOKUP(2,1/ISNUMBER(SEARCH(_lookup!$D$3:$D$4,H398)),_lookup!$E$3:$E$4),"INT"),VLOOKUP(G398,_lookup!$A$3:$B$14,2,FALSE)),""))</f>
        <v/>
      </c>
      <c r="K398">
        <f>IF(F398&lt;&gt;"weapon","",IF(G398="miscellaneous","1-4",IF(I398="","",IFERROR(VLOOKUP(I398&amp;"|"&amp;IF(LEFT(H398,2)="2H",2,1)&amp;"|"&amp;IF(G398="slashing",1,0),_lookup!$G$3:$H$18,2,FALSE),""))))</f>
        <v/>
      </c>
      <c r="L398">
        <f>IF(K398="","",IF(OR(G398="channeling",G398="infusing"),"Magical",IF(G398="blocking","Anti-Physical",IF(G398="warding","Anti-Magical","Physical"))))</f>
        <v/>
      </c>
      <c r="O398">
        <f>IF(F398&lt;&gt;"armor","","TBD")</f>
        <v/>
      </c>
      <c r="P398">
        <f>IF(O398="","",IF(OR(G398="channeling",G398="infusing"),"Magical",IF(G398="blocking","Anti-Physical",IF(G398="warding","Anti-Magical","Physical"))))</f>
        <v/>
      </c>
    </row>
    <row r="399">
      <c r="J399">
        <f>IF(G399="","",IFERROR(IF(G399="infusing",IFERROR(LOOKUP(2,1/ISNUMBER(SEARCH(_lookup!$D$3:$D$4,H399)),_lookup!$E$3:$E$4),"INT"),VLOOKUP(G399,_lookup!$A$3:$B$14,2,FALSE)),""))</f>
        <v/>
      </c>
      <c r="K399">
        <f>IF(F399&lt;&gt;"weapon","",IF(G399="miscellaneous","1-4",IF(I399="","",IFERROR(VLOOKUP(I399&amp;"|"&amp;IF(LEFT(H399,2)="2H",2,1)&amp;"|"&amp;IF(G399="slashing",1,0),_lookup!$G$3:$H$18,2,FALSE),""))))</f>
        <v/>
      </c>
      <c r="L399">
        <f>IF(K399="","",IF(OR(G399="channeling",G399="infusing"),"Magical",IF(G399="blocking","Anti-Physical",IF(G399="warding","Anti-Magical","Physical"))))</f>
        <v/>
      </c>
      <c r="O399">
        <f>IF(F399&lt;&gt;"armor","","TBD")</f>
        <v/>
      </c>
      <c r="P399">
        <f>IF(O399="","",IF(OR(G399="channeling",G399="infusing"),"Magical",IF(G399="blocking","Anti-Physical",IF(G399="warding","Anti-Magical","Physical"))))</f>
        <v/>
      </c>
    </row>
    <row r="400">
      <c r="J400">
        <f>IF(G400="","",IFERROR(IF(G400="infusing",IFERROR(LOOKUP(2,1/ISNUMBER(SEARCH(_lookup!$D$3:$D$4,H400)),_lookup!$E$3:$E$4),"INT"),VLOOKUP(G400,_lookup!$A$3:$B$14,2,FALSE)),""))</f>
        <v/>
      </c>
      <c r="K400">
        <f>IF(F400&lt;&gt;"weapon","",IF(G400="miscellaneous","1-4",IF(I400="","",IFERROR(VLOOKUP(I400&amp;"|"&amp;IF(LEFT(H400,2)="2H",2,1)&amp;"|"&amp;IF(G400="slashing",1,0),_lookup!$G$3:$H$18,2,FALSE),""))))</f>
        <v/>
      </c>
      <c r="L400">
        <f>IF(K400="","",IF(OR(G400="channeling",G400="infusing"),"Magical",IF(G400="blocking","Anti-Physical",IF(G400="warding","Anti-Magical","Physical"))))</f>
        <v/>
      </c>
      <c r="O400">
        <f>IF(F400&lt;&gt;"armor","","TBD")</f>
        <v/>
      </c>
      <c r="P400">
        <f>IF(O400="","",IF(OR(G400="channeling",G400="infusing"),"Magical",IF(G400="blocking","Anti-Physical",IF(G400="warding","Anti-Magical","Physical"))))</f>
        <v/>
      </c>
    </row>
    <row r="401">
      <c r="J401">
        <f>IF(G401="","",IFERROR(IF(G401="infusing",IFERROR(LOOKUP(2,1/ISNUMBER(SEARCH(_lookup!$D$3:$D$4,H401)),_lookup!$E$3:$E$4),"INT"),VLOOKUP(G401,_lookup!$A$3:$B$14,2,FALSE)),""))</f>
        <v/>
      </c>
      <c r="K401">
        <f>IF(F401&lt;&gt;"weapon","",IF(G401="miscellaneous","1-4",IF(I401="","",IFERROR(VLOOKUP(I401&amp;"|"&amp;IF(LEFT(H401,2)="2H",2,1)&amp;"|"&amp;IF(G401="slashing",1,0),_lookup!$G$3:$H$18,2,FALSE),""))))</f>
        <v/>
      </c>
      <c r="L401">
        <f>IF(K401="","",IF(OR(G401="channeling",G401="infusing"),"Magical",IF(G401="blocking","Anti-Physical",IF(G401="warding","Anti-Magical","Physical"))))</f>
        <v/>
      </c>
      <c r="O401">
        <f>IF(F401&lt;&gt;"armor","","TBD")</f>
        <v/>
      </c>
      <c r="P401">
        <f>IF(O401="","",IF(OR(G401="channeling",G401="infusing"),"Magical",IF(G401="blocking","Anti-Physical",IF(G401="warding","Anti-Magical","Physical"))))</f>
        <v/>
      </c>
    </row>
    <row r="402">
      <c r="J402">
        <f>IF(G402="","",IFERROR(IF(G402="infusing",IFERROR(LOOKUP(2,1/ISNUMBER(SEARCH(_lookup!$D$3:$D$4,H402)),_lookup!$E$3:$E$4),"INT"),VLOOKUP(G402,_lookup!$A$3:$B$14,2,FALSE)),""))</f>
        <v/>
      </c>
      <c r="K402">
        <f>IF(F402&lt;&gt;"weapon","",IF(G402="miscellaneous","1-4",IF(I402="","",IFERROR(VLOOKUP(I402&amp;"|"&amp;IF(LEFT(H402,2)="2H",2,1)&amp;"|"&amp;IF(G402="slashing",1,0),_lookup!$G$3:$H$18,2,FALSE),""))))</f>
        <v/>
      </c>
      <c r="L402">
        <f>IF(K402="","",IF(OR(G402="channeling",G402="infusing"),"Magical",IF(G402="blocking","Anti-Physical",IF(G402="warding","Anti-Magical","Physical"))))</f>
        <v/>
      </c>
      <c r="O402">
        <f>IF(F402&lt;&gt;"armor","","TBD")</f>
        <v/>
      </c>
      <c r="P402">
        <f>IF(O402="","",IF(OR(G402="channeling",G402="infusing"),"Magical",IF(G402="blocking","Anti-Physical",IF(G402="warding","Anti-Magical","Physical"))))</f>
        <v/>
      </c>
    </row>
    <row r="403">
      <c r="J403">
        <f>IF(G403="","",IFERROR(IF(G403="infusing",IFERROR(LOOKUP(2,1/ISNUMBER(SEARCH(_lookup!$D$3:$D$4,H403)),_lookup!$E$3:$E$4),"INT"),VLOOKUP(G403,_lookup!$A$3:$B$14,2,FALSE)),""))</f>
        <v/>
      </c>
      <c r="K403">
        <f>IF(F403&lt;&gt;"weapon","",IF(G403="miscellaneous","1-4",IF(I403="","",IFERROR(VLOOKUP(I403&amp;"|"&amp;IF(LEFT(H403,2)="2H",2,1)&amp;"|"&amp;IF(G403="slashing",1,0),_lookup!$G$3:$H$18,2,FALSE),""))))</f>
        <v/>
      </c>
      <c r="L403">
        <f>IF(K403="","",IF(OR(G403="channeling",G403="infusing"),"Magical",IF(G403="blocking","Anti-Physical",IF(G403="warding","Anti-Magical","Physical"))))</f>
        <v/>
      </c>
      <c r="O403">
        <f>IF(F403&lt;&gt;"armor","","TBD")</f>
        <v/>
      </c>
      <c r="P403">
        <f>IF(O403="","",IF(OR(G403="channeling",G403="infusing"),"Magical",IF(G403="blocking","Anti-Physical",IF(G403="warding","Anti-Magical","Physical"))))</f>
        <v/>
      </c>
    </row>
    <row r="404">
      <c r="J404">
        <f>IF(G404="","",IFERROR(IF(G404="infusing",IFERROR(LOOKUP(2,1/ISNUMBER(SEARCH(_lookup!$D$3:$D$4,H404)),_lookup!$E$3:$E$4),"INT"),VLOOKUP(G404,_lookup!$A$3:$B$14,2,FALSE)),""))</f>
        <v/>
      </c>
      <c r="K404">
        <f>IF(F404&lt;&gt;"weapon","",IF(G404="miscellaneous","1-4",IF(I404="","",IFERROR(VLOOKUP(I404&amp;"|"&amp;IF(LEFT(H404,2)="2H",2,1)&amp;"|"&amp;IF(G404="slashing",1,0),_lookup!$G$3:$H$18,2,FALSE),""))))</f>
        <v/>
      </c>
      <c r="L404">
        <f>IF(K404="","",IF(OR(G404="channeling",G404="infusing"),"Magical",IF(G404="blocking","Anti-Physical",IF(G404="warding","Anti-Magical","Physical"))))</f>
        <v/>
      </c>
      <c r="O404">
        <f>IF(F404&lt;&gt;"armor","","TBD")</f>
        <v/>
      </c>
      <c r="P404">
        <f>IF(O404="","",IF(OR(G404="channeling",G404="infusing"),"Magical",IF(G404="blocking","Anti-Physical",IF(G404="warding","Anti-Magical","Physical"))))</f>
        <v/>
      </c>
    </row>
    <row r="405">
      <c r="J405">
        <f>IF(G405="","",IFERROR(IF(G405="infusing",IFERROR(LOOKUP(2,1/ISNUMBER(SEARCH(_lookup!$D$3:$D$4,H405)),_lookup!$E$3:$E$4),"INT"),VLOOKUP(G405,_lookup!$A$3:$B$14,2,FALSE)),""))</f>
        <v/>
      </c>
      <c r="K405">
        <f>IF(F405&lt;&gt;"weapon","",IF(G405="miscellaneous","1-4",IF(I405="","",IFERROR(VLOOKUP(I405&amp;"|"&amp;IF(LEFT(H405,2)="2H",2,1)&amp;"|"&amp;IF(G405="slashing",1,0),_lookup!$G$3:$H$18,2,FALSE),""))))</f>
        <v/>
      </c>
      <c r="L405">
        <f>IF(K405="","",IF(OR(G405="channeling",G405="infusing"),"Magical",IF(G405="blocking","Anti-Physical",IF(G405="warding","Anti-Magical","Physical"))))</f>
        <v/>
      </c>
      <c r="O405">
        <f>IF(F405&lt;&gt;"armor","","TBD")</f>
        <v/>
      </c>
      <c r="P405">
        <f>IF(O405="","",IF(OR(G405="channeling",G405="infusing"),"Magical",IF(G405="blocking","Anti-Physical",IF(G405="warding","Anti-Magical","Physical"))))</f>
        <v/>
      </c>
    </row>
    <row r="406">
      <c r="J406">
        <f>IF(G406="","",IFERROR(IF(G406="infusing",IFERROR(LOOKUP(2,1/ISNUMBER(SEARCH(_lookup!$D$3:$D$4,H406)),_lookup!$E$3:$E$4),"INT"),VLOOKUP(G406,_lookup!$A$3:$B$14,2,FALSE)),""))</f>
        <v/>
      </c>
      <c r="K406">
        <f>IF(F406&lt;&gt;"weapon","",IF(G406="miscellaneous","1-4",IF(I406="","",IFERROR(VLOOKUP(I406&amp;"|"&amp;IF(LEFT(H406,2)="2H",2,1)&amp;"|"&amp;IF(G406="slashing",1,0),_lookup!$G$3:$H$18,2,FALSE),""))))</f>
        <v/>
      </c>
      <c r="L406">
        <f>IF(K406="","",IF(OR(G406="channeling",G406="infusing"),"Magical",IF(G406="blocking","Anti-Physical",IF(G406="warding","Anti-Magical","Physical"))))</f>
        <v/>
      </c>
      <c r="O406">
        <f>IF(F406&lt;&gt;"armor","","TBD")</f>
        <v/>
      </c>
      <c r="P406">
        <f>IF(O406="","",IF(OR(G406="channeling",G406="infusing"),"Magical",IF(G406="blocking","Anti-Physical",IF(G406="warding","Anti-Magical","Physical"))))</f>
        <v/>
      </c>
    </row>
    <row r="407">
      <c r="J407">
        <f>IF(G407="","",IFERROR(IF(G407="infusing",IFERROR(LOOKUP(2,1/ISNUMBER(SEARCH(_lookup!$D$3:$D$4,H407)),_lookup!$E$3:$E$4),"INT"),VLOOKUP(G407,_lookup!$A$3:$B$14,2,FALSE)),""))</f>
        <v/>
      </c>
      <c r="K407">
        <f>IF(F407&lt;&gt;"weapon","",IF(G407="miscellaneous","1-4",IF(I407="","",IFERROR(VLOOKUP(I407&amp;"|"&amp;IF(LEFT(H407,2)="2H",2,1)&amp;"|"&amp;IF(G407="slashing",1,0),_lookup!$G$3:$H$18,2,FALSE),""))))</f>
        <v/>
      </c>
      <c r="L407">
        <f>IF(K407="","",IF(OR(G407="channeling",G407="infusing"),"Magical",IF(G407="blocking","Anti-Physical",IF(G407="warding","Anti-Magical","Physical"))))</f>
        <v/>
      </c>
      <c r="O407">
        <f>IF(F407&lt;&gt;"armor","","TBD")</f>
        <v/>
      </c>
      <c r="P407">
        <f>IF(O407="","",IF(OR(G407="channeling",G407="infusing"),"Magical",IF(G407="blocking","Anti-Physical",IF(G407="warding","Anti-Magical","Physical"))))</f>
        <v/>
      </c>
    </row>
    <row r="408">
      <c r="J408">
        <f>IF(G408="","",IFERROR(IF(G408="infusing",IFERROR(LOOKUP(2,1/ISNUMBER(SEARCH(_lookup!$D$3:$D$4,H408)),_lookup!$E$3:$E$4),"INT"),VLOOKUP(G408,_lookup!$A$3:$B$14,2,FALSE)),""))</f>
        <v/>
      </c>
      <c r="K408">
        <f>IF(F408&lt;&gt;"weapon","",IF(G408="miscellaneous","1-4",IF(I408="","",IFERROR(VLOOKUP(I408&amp;"|"&amp;IF(LEFT(H408,2)="2H",2,1)&amp;"|"&amp;IF(G408="slashing",1,0),_lookup!$G$3:$H$18,2,FALSE),""))))</f>
        <v/>
      </c>
      <c r="L408">
        <f>IF(K408="","",IF(OR(G408="channeling",G408="infusing"),"Magical",IF(G408="blocking","Anti-Physical",IF(G408="warding","Anti-Magical","Physical"))))</f>
        <v/>
      </c>
      <c r="O408">
        <f>IF(F408&lt;&gt;"armor","","TBD")</f>
        <v/>
      </c>
      <c r="P408">
        <f>IF(O408="","",IF(OR(G408="channeling",G408="infusing"),"Magical",IF(G408="blocking","Anti-Physical",IF(G408="warding","Anti-Magical","Physical"))))</f>
        <v/>
      </c>
    </row>
    <row r="409">
      <c r="J409">
        <f>IF(G409="","",IFERROR(IF(G409="infusing",IFERROR(LOOKUP(2,1/ISNUMBER(SEARCH(_lookup!$D$3:$D$4,H409)),_lookup!$E$3:$E$4),"INT"),VLOOKUP(G409,_lookup!$A$3:$B$14,2,FALSE)),""))</f>
        <v/>
      </c>
      <c r="K409">
        <f>IF(F409&lt;&gt;"weapon","",IF(G409="miscellaneous","1-4",IF(I409="","",IFERROR(VLOOKUP(I409&amp;"|"&amp;IF(LEFT(H409,2)="2H",2,1)&amp;"|"&amp;IF(G409="slashing",1,0),_lookup!$G$3:$H$18,2,FALSE),""))))</f>
        <v/>
      </c>
      <c r="L409">
        <f>IF(K409="","",IF(OR(G409="channeling",G409="infusing"),"Magical",IF(G409="blocking","Anti-Physical",IF(G409="warding","Anti-Magical","Physical"))))</f>
        <v/>
      </c>
      <c r="O409">
        <f>IF(F409&lt;&gt;"armor","","TBD")</f>
        <v/>
      </c>
      <c r="P409">
        <f>IF(O409="","",IF(OR(G409="channeling",G409="infusing"),"Magical",IF(G409="blocking","Anti-Physical",IF(G409="warding","Anti-Magical","Physical"))))</f>
        <v/>
      </c>
    </row>
    <row r="410">
      <c r="J410">
        <f>IF(G410="","",IFERROR(IF(G410="infusing",IFERROR(LOOKUP(2,1/ISNUMBER(SEARCH(_lookup!$D$3:$D$4,H410)),_lookup!$E$3:$E$4),"INT"),VLOOKUP(G410,_lookup!$A$3:$B$14,2,FALSE)),""))</f>
        <v/>
      </c>
      <c r="K410">
        <f>IF(F410&lt;&gt;"weapon","",IF(G410="miscellaneous","1-4",IF(I410="","",IFERROR(VLOOKUP(I410&amp;"|"&amp;IF(LEFT(H410,2)="2H",2,1)&amp;"|"&amp;IF(G410="slashing",1,0),_lookup!$G$3:$H$18,2,FALSE),""))))</f>
        <v/>
      </c>
      <c r="L410">
        <f>IF(K410="","",IF(OR(G410="channeling",G410="infusing"),"Magical",IF(G410="blocking","Anti-Physical",IF(G410="warding","Anti-Magical","Physical"))))</f>
        <v/>
      </c>
      <c r="O410">
        <f>IF(F410&lt;&gt;"armor","","TBD")</f>
        <v/>
      </c>
      <c r="P410">
        <f>IF(O410="","",IF(OR(G410="channeling",G410="infusing"),"Magical",IF(G410="blocking","Anti-Physical",IF(G410="warding","Anti-Magical","Physical"))))</f>
        <v/>
      </c>
    </row>
    <row r="411">
      <c r="J411">
        <f>IF(G411="","",IFERROR(IF(G411="infusing",IFERROR(LOOKUP(2,1/ISNUMBER(SEARCH(_lookup!$D$3:$D$4,H411)),_lookup!$E$3:$E$4),"INT"),VLOOKUP(G411,_lookup!$A$3:$B$14,2,FALSE)),""))</f>
        <v/>
      </c>
      <c r="K411">
        <f>IF(F411&lt;&gt;"weapon","",IF(G411="miscellaneous","1-4",IF(I411="","",IFERROR(VLOOKUP(I411&amp;"|"&amp;IF(LEFT(H411,2)="2H",2,1)&amp;"|"&amp;IF(G411="slashing",1,0),_lookup!$G$3:$H$18,2,FALSE),""))))</f>
        <v/>
      </c>
      <c r="L411">
        <f>IF(K411="","",IF(OR(G411="channeling",G411="infusing"),"Magical",IF(G411="blocking","Anti-Physical",IF(G411="warding","Anti-Magical","Physical"))))</f>
        <v/>
      </c>
      <c r="O411">
        <f>IF(F411&lt;&gt;"armor","","TBD")</f>
        <v/>
      </c>
      <c r="P411">
        <f>IF(O411="","",IF(OR(G411="channeling",G411="infusing"),"Magical",IF(G411="blocking","Anti-Physical",IF(G411="warding","Anti-Magical","Physical"))))</f>
        <v/>
      </c>
    </row>
    <row r="412">
      <c r="J412">
        <f>IF(G412="","",IFERROR(IF(G412="infusing",IFERROR(LOOKUP(2,1/ISNUMBER(SEARCH(_lookup!$D$3:$D$4,H412)),_lookup!$E$3:$E$4),"INT"),VLOOKUP(G412,_lookup!$A$3:$B$14,2,FALSE)),""))</f>
        <v/>
      </c>
      <c r="K412">
        <f>IF(F412&lt;&gt;"weapon","",IF(G412="miscellaneous","1-4",IF(I412="","",IFERROR(VLOOKUP(I412&amp;"|"&amp;IF(LEFT(H412,2)="2H",2,1)&amp;"|"&amp;IF(G412="slashing",1,0),_lookup!$G$3:$H$18,2,FALSE),""))))</f>
        <v/>
      </c>
      <c r="L412">
        <f>IF(K412="","",IF(OR(G412="channeling",G412="infusing"),"Magical",IF(G412="blocking","Anti-Physical",IF(G412="warding","Anti-Magical","Physical"))))</f>
        <v/>
      </c>
      <c r="O412">
        <f>IF(F412&lt;&gt;"armor","","TBD")</f>
        <v/>
      </c>
      <c r="P412">
        <f>IF(O412="","",IF(OR(G412="channeling",G412="infusing"),"Magical",IF(G412="blocking","Anti-Physical",IF(G412="warding","Anti-Magical","Physical"))))</f>
        <v/>
      </c>
    </row>
    <row r="413">
      <c r="J413">
        <f>IF(G413="","",IFERROR(IF(G413="infusing",IFERROR(LOOKUP(2,1/ISNUMBER(SEARCH(_lookup!$D$3:$D$4,H413)),_lookup!$E$3:$E$4),"INT"),VLOOKUP(G413,_lookup!$A$3:$B$14,2,FALSE)),""))</f>
        <v/>
      </c>
      <c r="K413">
        <f>IF(F413&lt;&gt;"weapon","",IF(G413="miscellaneous","1-4",IF(I413="","",IFERROR(VLOOKUP(I413&amp;"|"&amp;IF(LEFT(H413,2)="2H",2,1)&amp;"|"&amp;IF(G413="slashing",1,0),_lookup!$G$3:$H$18,2,FALSE),""))))</f>
        <v/>
      </c>
      <c r="L413">
        <f>IF(K413="","",IF(OR(G413="channeling",G413="infusing"),"Magical",IF(G413="blocking","Anti-Physical",IF(G413="warding","Anti-Magical","Physical"))))</f>
        <v/>
      </c>
      <c r="O413">
        <f>IF(F413&lt;&gt;"armor","","TBD")</f>
        <v/>
      </c>
      <c r="P413">
        <f>IF(O413="","",IF(OR(G413="channeling",G413="infusing"),"Magical",IF(G413="blocking","Anti-Physical",IF(G413="warding","Anti-Magical","Physical"))))</f>
        <v/>
      </c>
    </row>
    <row r="414">
      <c r="J414">
        <f>IF(G414="","",IFERROR(IF(G414="infusing",IFERROR(LOOKUP(2,1/ISNUMBER(SEARCH(_lookup!$D$3:$D$4,H414)),_lookup!$E$3:$E$4),"INT"),VLOOKUP(G414,_lookup!$A$3:$B$14,2,FALSE)),""))</f>
        <v/>
      </c>
      <c r="K414">
        <f>IF(F414&lt;&gt;"weapon","",IF(G414="miscellaneous","1-4",IF(I414="","",IFERROR(VLOOKUP(I414&amp;"|"&amp;IF(LEFT(H414,2)="2H",2,1)&amp;"|"&amp;IF(G414="slashing",1,0),_lookup!$G$3:$H$18,2,FALSE),""))))</f>
        <v/>
      </c>
      <c r="L414">
        <f>IF(K414="","",IF(OR(G414="channeling",G414="infusing"),"Magical",IF(G414="blocking","Anti-Physical",IF(G414="warding","Anti-Magical","Physical"))))</f>
        <v/>
      </c>
      <c r="O414">
        <f>IF(F414&lt;&gt;"armor","","TBD")</f>
        <v/>
      </c>
      <c r="P414">
        <f>IF(O414="","",IF(OR(G414="channeling",G414="infusing"),"Magical",IF(G414="blocking","Anti-Physical",IF(G414="warding","Anti-Magical","Physical"))))</f>
        <v/>
      </c>
    </row>
    <row r="415">
      <c r="J415">
        <f>IF(G415="","",IFERROR(IF(G415="infusing",IFERROR(LOOKUP(2,1/ISNUMBER(SEARCH(_lookup!$D$3:$D$4,H415)),_lookup!$E$3:$E$4),"INT"),VLOOKUP(G415,_lookup!$A$3:$B$14,2,FALSE)),""))</f>
        <v/>
      </c>
      <c r="K415">
        <f>IF(F415&lt;&gt;"weapon","",IF(G415="miscellaneous","1-4",IF(I415="","",IFERROR(VLOOKUP(I415&amp;"|"&amp;IF(LEFT(H415,2)="2H",2,1)&amp;"|"&amp;IF(G415="slashing",1,0),_lookup!$G$3:$H$18,2,FALSE),""))))</f>
        <v/>
      </c>
      <c r="L415">
        <f>IF(K415="","",IF(OR(G415="channeling",G415="infusing"),"Magical",IF(G415="blocking","Anti-Physical",IF(G415="warding","Anti-Magical","Physical"))))</f>
        <v/>
      </c>
      <c r="O415">
        <f>IF(F415&lt;&gt;"armor","","TBD")</f>
        <v/>
      </c>
      <c r="P415">
        <f>IF(O415="","",IF(OR(G415="channeling",G415="infusing"),"Magical",IF(G415="blocking","Anti-Physical",IF(G415="warding","Anti-Magical","Physical"))))</f>
        <v/>
      </c>
    </row>
    <row r="416">
      <c r="J416">
        <f>IF(G416="","",IFERROR(IF(G416="infusing",IFERROR(LOOKUP(2,1/ISNUMBER(SEARCH(_lookup!$D$3:$D$4,H416)),_lookup!$E$3:$E$4),"INT"),VLOOKUP(G416,_lookup!$A$3:$B$14,2,FALSE)),""))</f>
        <v/>
      </c>
      <c r="K416">
        <f>IF(F416&lt;&gt;"weapon","",IF(G416="miscellaneous","1-4",IF(I416="","",IFERROR(VLOOKUP(I416&amp;"|"&amp;IF(LEFT(H416,2)="2H",2,1)&amp;"|"&amp;IF(G416="slashing",1,0),_lookup!$G$3:$H$18,2,FALSE),""))))</f>
        <v/>
      </c>
      <c r="L416">
        <f>IF(K416="","",IF(OR(G416="channeling",G416="infusing"),"Magical",IF(G416="blocking","Anti-Physical",IF(G416="warding","Anti-Magical","Physical"))))</f>
        <v/>
      </c>
      <c r="O416">
        <f>IF(F416&lt;&gt;"armor","","TBD")</f>
        <v/>
      </c>
      <c r="P416">
        <f>IF(O416="","",IF(OR(G416="channeling",G416="infusing"),"Magical",IF(G416="blocking","Anti-Physical",IF(G416="warding","Anti-Magical","Physical"))))</f>
        <v/>
      </c>
    </row>
    <row r="417">
      <c r="J417">
        <f>IF(G417="","",IFERROR(IF(G417="infusing",IFERROR(LOOKUP(2,1/ISNUMBER(SEARCH(_lookup!$D$3:$D$4,H417)),_lookup!$E$3:$E$4),"INT"),VLOOKUP(G417,_lookup!$A$3:$B$14,2,FALSE)),""))</f>
        <v/>
      </c>
      <c r="K417">
        <f>IF(F417&lt;&gt;"weapon","",IF(G417="miscellaneous","1-4",IF(I417="","",IFERROR(VLOOKUP(I417&amp;"|"&amp;IF(LEFT(H417,2)="2H",2,1)&amp;"|"&amp;IF(G417="slashing",1,0),_lookup!$G$3:$H$18,2,FALSE),""))))</f>
        <v/>
      </c>
      <c r="L417">
        <f>IF(K417="","",IF(OR(G417="channeling",G417="infusing"),"Magical",IF(G417="blocking","Anti-Physical",IF(G417="warding","Anti-Magical","Physical"))))</f>
        <v/>
      </c>
      <c r="O417">
        <f>IF(F417&lt;&gt;"armor","","TBD")</f>
        <v/>
      </c>
      <c r="P417">
        <f>IF(O417="","",IF(OR(G417="channeling",G417="infusing"),"Magical",IF(G417="blocking","Anti-Physical",IF(G417="warding","Anti-Magical","Physical"))))</f>
        <v/>
      </c>
    </row>
    <row r="418">
      <c r="J418">
        <f>IF(G418="","",IFERROR(IF(G418="infusing",IFERROR(LOOKUP(2,1/ISNUMBER(SEARCH(_lookup!$D$3:$D$4,H418)),_lookup!$E$3:$E$4),"INT"),VLOOKUP(G418,_lookup!$A$3:$B$14,2,FALSE)),""))</f>
        <v/>
      </c>
      <c r="K418">
        <f>IF(F418&lt;&gt;"weapon","",IF(G418="miscellaneous","1-4",IF(I418="","",IFERROR(VLOOKUP(I418&amp;"|"&amp;IF(LEFT(H418,2)="2H",2,1)&amp;"|"&amp;IF(G418="slashing",1,0),_lookup!$G$3:$H$18,2,FALSE),""))))</f>
        <v/>
      </c>
      <c r="L418">
        <f>IF(K418="","",IF(OR(G418="channeling",G418="infusing"),"Magical",IF(G418="blocking","Anti-Physical",IF(G418="warding","Anti-Magical","Physical"))))</f>
        <v/>
      </c>
      <c r="O418">
        <f>IF(F418&lt;&gt;"armor","","TBD")</f>
        <v/>
      </c>
      <c r="P418">
        <f>IF(O418="","",IF(OR(G418="channeling",G418="infusing"),"Magical",IF(G418="blocking","Anti-Physical",IF(G418="warding","Anti-Magical","Physical"))))</f>
        <v/>
      </c>
    </row>
    <row r="419">
      <c r="J419">
        <f>IF(G419="","",IFERROR(IF(G419="infusing",IFERROR(LOOKUP(2,1/ISNUMBER(SEARCH(_lookup!$D$3:$D$4,H419)),_lookup!$E$3:$E$4),"INT"),VLOOKUP(G419,_lookup!$A$3:$B$14,2,FALSE)),""))</f>
        <v/>
      </c>
      <c r="K419">
        <f>IF(F419&lt;&gt;"weapon","",IF(G419="miscellaneous","1-4",IF(I419="","",IFERROR(VLOOKUP(I419&amp;"|"&amp;IF(LEFT(H419,2)="2H",2,1)&amp;"|"&amp;IF(G419="slashing",1,0),_lookup!$G$3:$H$18,2,FALSE),""))))</f>
        <v/>
      </c>
      <c r="L419">
        <f>IF(K419="","",IF(OR(G419="channeling",G419="infusing"),"Magical",IF(G419="blocking","Anti-Physical",IF(G419="warding","Anti-Magical","Physical"))))</f>
        <v/>
      </c>
      <c r="O419">
        <f>IF(F419&lt;&gt;"armor","","TBD")</f>
        <v/>
      </c>
      <c r="P419">
        <f>IF(O419="","",IF(OR(G419="channeling",G419="infusing"),"Magical",IF(G419="blocking","Anti-Physical",IF(G419="warding","Anti-Magical","Physical"))))</f>
        <v/>
      </c>
    </row>
    <row r="420">
      <c r="J420">
        <f>IF(G420="","",IFERROR(IF(G420="infusing",IFERROR(LOOKUP(2,1/ISNUMBER(SEARCH(_lookup!$D$3:$D$4,H420)),_lookup!$E$3:$E$4),"INT"),VLOOKUP(G420,_lookup!$A$3:$B$14,2,FALSE)),""))</f>
        <v/>
      </c>
      <c r="K420">
        <f>IF(F420&lt;&gt;"weapon","",IF(G420="miscellaneous","1-4",IF(I420="","",IFERROR(VLOOKUP(I420&amp;"|"&amp;IF(LEFT(H420,2)="2H",2,1)&amp;"|"&amp;IF(G420="slashing",1,0),_lookup!$G$3:$H$18,2,FALSE),""))))</f>
        <v/>
      </c>
      <c r="L420">
        <f>IF(K420="","",IF(OR(G420="channeling",G420="infusing"),"Magical",IF(G420="blocking","Anti-Physical",IF(G420="warding","Anti-Magical","Physical"))))</f>
        <v/>
      </c>
      <c r="O420">
        <f>IF(F420&lt;&gt;"armor","","TBD")</f>
        <v/>
      </c>
      <c r="P420">
        <f>IF(O420="","",IF(OR(G420="channeling",G420="infusing"),"Magical",IF(G420="blocking","Anti-Physical",IF(G420="warding","Anti-Magical","Physical"))))</f>
        <v/>
      </c>
    </row>
    <row r="421">
      <c r="J421">
        <f>IF(G421="","",IFERROR(IF(G421="infusing",IFERROR(LOOKUP(2,1/ISNUMBER(SEARCH(_lookup!$D$3:$D$4,H421)),_lookup!$E$3:$E$4),"INT"),VLOOKUP(G421,_lookup!$A$3:$B$14,2,FALSE)),""))</f>
        <v/>
      </c>
      <c r="K421">
        <f>IF(F421&lt;&gt;"weapon","",IF(G421="miscellaneous","1-4",IF(I421="","",IFERROR(VLOOKUP(I421&amp;"|"&amp;IF(LEFT(H421,2)="2H",2,1)&amp;"|"&amp;IF(G421="slashing",1,0),_lookup!$G$3:$H$18,2,FALSE),""))))</f>
        <v/>
      </c>
      <c r="L421">
        <f>IF(K421="","",IF(OR(G421="channeling",G421="infusing"),"Magical",IF(G421="blocking","Anti-Physical",IF(G421="warding","Anti-Magical","Physical"))))</f>
        <v/>
      </c>
      <c r="O421">
        <f>IF(F421&lt;&gt;"armor","","TBD")</f>
        <v/>
      </c>
      <c r="P421">
        <f>IF(O421="","",IF(OR(G421="channeling",G421="infusing"),"Magical",IF(G421="blocking","Anti-Physical",IF(G421="warding","Anti-Magical","Physical"))))</f>
        <v/>
      </c>
    </row>
    <row r="422">
      <c r="J422">
        <f>IF(G422="","",IFERROR(IF(G422="infusing",IFERROR(LOOKUP(2,1/ISNUMBER(SEARCH(_lookup!$D$3:$D$4,H422)),_lookup!$E$3:$E$4),"INT"),VLOOKUP(G422,_lookup!$A$3:$B$14,2,FALSE)),""))</f>
        <v/>
      </c>
      <c r="K422">
        <f>IF(F422&lt;&gt;"weapon","",IF(G422="miscellaneous","1-4",IF(I422="","",IFERROR(VLOOKUP(I422&amp;"|"&amp;IF(LEFT(H422,2)="2H",2,1)&amp;"|"&amp;IF(G422="slashing",1,0),_lookup!$G$3:$H$18,2,FALSE),""))))</f>
        <v/>
      </c>
      <c r="L422">
        <f>IF(K422="","",IF(OR(G422="channeling",G422="infusing"),"Magical",IF(G422="blocking","Anti-Physical",IF(G422="warding","Anti-Magical","Physical"))))</f>
        <v/>
      </c>
      <c r="O422">
        <f>IF(F422&lt;&gt;"armor","","TBD")</f>
        <v/>
      </c>
      <c r="P422">
        <f>IF(O422="","",IF(OR(G422="channeling",G422="infusing"),"Magical",IF(G422="blocking","Anti-Physical",IF(G422="warding","Anti-Magical","Physical"))))</f>
        <v/>
      </c>
    </row>
    <row r="423">
      <c r="J423">
        <f>IF(G423="","",IFERROR(IF(G423="infusing",IFERROR(LOOKUP(2,1/ISNUMBER(SEARCH(_lookup!$D$3:$D$4,H423)),_lookup!$E$3:$E$4),"INT"),VLOOKUP(G423,_lookup!$A$3:$B$14,2,FALSE)),""))</f>
        <v/>
      </c>
      <c r="K423">
        <f>IF(F423&lt;&gt;"weapon","",IF(G423="miscellaneous","1-4",IF(I423="","",IFERROR(VLOOKUP(I423&amp;"|"&amp;IF(LEFT(H423,2)="2H",2,1)&amp;"|"&amp;IF(G423="slashing",1,0),_lookup!$G$3:$H$18,2,FALSE),""))))</f>
        <v/>
      </c>
      <c r="L423">
        <f>IF(K423="","",IF(OR(G423="channeling",G423="infusing"),"Magical",IF(G423="blocking","Anti-Physical",IF(G423="warding","Anti-Magical","Physical"))))</f>
        <v/>
      </c>
      <c r="O423">
        <f>IF(F423&lt;&gt;"armor","","TBD")</f>
        <v/>
      </c>
      <c r="P423">
        <f>IF(O423="","",IF(OR(G423="channeling",G423="infusing"),"Magical",IF(G423="blocking","Anti-Physical",IF(G423="warding","Anti-Magical","Physical"))))</f>
        <v/>
      </c>
    </row>
    <row r="424">
      <c r="J424">
        <f>IF(G424="","",IFERROR(IF(G424="infusing",IFERROR(LOOKUP(2,1/ISNUMBER(SEARCH(_lookup!$D$3:$D$4,H424)),_lookup!$E$3:$E$4),"INT"),VLOOKUP(G424,_lookup!$A$3:$B$14,2,FALSE)),""))</f>
        <v/>
      </c>
      <c r="K424">
        <f>IF(F424&lt;&gt;"weapon","",IF(G424="miscellaneous","1-4",IF(I424="","",IFERROR(VLOOKUP(I424&amp;"|"&amp;IF(LEFT(H424,2)="2H",2,1)&amp;"|"&amp;IF(G424="slashing",1,0),_lookup!$G$3:$H$18,2,FALSE),""))))</f>
        <v/>
      </c>
      <c r="L424">
        <f>IF(K424="","",IF(OR(G424="channeling",G424="infusing"),"Magical",IF(G424="blocking","Anti-Physical",IF(G424="warding","Anti-Magical","Physical"))))</f>
        <v/>
      </c>
      <c r="O424">
        <f>IF(F424&lt;&gt;"armor","","TBD")</f>
        <v/>
      </c>
      <c r="P424">
        <f>IF(O424="","",IF(OR(G424="channeling",G424="infusing"),"Magical",IF(G424="blocking","Anti-Physical",IF(G424="warding","Anti-Magical","Physical"))))</f>
        <v/>
      </c>
    </row>
    <row r="425">
      <c r="J425">
        <f>IF(G425="","",IFERROR(IF(G425="infusing",IFERROR(LOOKUP(2,1/ISNUMBER(SEARCH(_lookup!$D$3:$D$4,H425)),_lookup!$E$3:$E$4),"INT"),VLOOKUP(G425,_lookup!$A$3:$B$14,2,FALSE)),""))</f>
        <v/>
      </c>
      <c r="K425">
        <f>IF(F425&lt;&gt;"weapon","",IF(G425="miscellaneous","1-4",IF(I425="","",IFERROR(VLOOKUP(I425&amp;"|"&amp;IF(LEFT(H425,2)="2H",2,1)&amp;"|"&amp;IF(G425="slashing",1,0),_lookup!$G$3:$H$18,2,FALSE),""))))</f>
        <v/>
      </c>
      <c r="L425">
        <f>IF(K425="","",IF(OR(G425="channeling",G425="infusing"),"Magical",IF(G425="blocking","Anti-Physical",IF(G425="warding","Anti-Magical","Physical"))))</f>
        <v/>
      </c>
      <c r="O425">
        <f>IF(F425&lt;&gt;"armor","","TBD")</f>
        <v/>
      </c>
      <c r="P425">
        <f>IF(O425="","",IF(OR(G425="channeling",G425="infusing"),"Magical",IF(G425="blocking","Anti-Physical",IF(G425="warding","Anti-Magical","Physical"))))</f>
        <v/>
      </c>
    </row>
    <row r="426">
      <c r="J426">
        <f>IF(G426="","",IFERROR(IF(G426="infusing",IFERROR(LOOKUP(2,1/ISNUMBER(SEARCH(_lookup!$D$3:$D$4,H426)),_lookup!$E$3:$E$4),"INT"),VLOOKUP(G426,_lookup!$A$3:$B$14,2,FALSE)),""))</f>
        <v/>
      </c>
      <c r="K426">
        <f>IF(F426&lt;&gt;"weapon","",IF(G426="miscellaneous","1-4",IF(I426="","",IFERROR(VLOOKUP(I426&amp;"|"&amp;IF(LEFT(H426,2)="2H",2,1)&amp;"|"&amp;IF(G426="slashing",1,0),_lookup!$G$3:$H$18,2,FALSE),""))))</f>
        <v/>
      </c>
      <c r="L426">
        <f>IF(K426="","",IF(OR(G426="channeling",G426="infusing"),"Magical",IF(G426="blocking","Anti-Physical",IF(G426="warding","Anti-Magical","Physical"))))</f>
        <v/>
      </c>
      <c r="O426">
        <f>IF(F426&lt;&gt;"armor","","TBD")</f>
        <v/>
      </c>
      <c r="P426">
        <f>IF(O426="","",IF(OR(G426="channeling",G426="infusing"),"Magical",IF(G426="blocking","Anti-Physical",IF(G426="warding","Anti-Magical","Physical"))))</f>
        <v/>
      </c>
    </row>
    <row r="427">
      <c r="J427">
        <f>IF(G427="","",IFERROR(IF(G427="infusing",IFERROR(LOOKUP(2,1/ISNUMBER(SEARCH(_lookup!$D$3:$D$4,H427)),_lookup!$E$3:$E$4),"INT"),VLOOKUP(G427,_lookup!$A$3:$B$14,2,FALSE)),""))</f>
        <v/>
      </c>
      <c r="K427">
        <f>IF(F427&lt;&gt;"weapon","",IF(G427="miscellaneous","1-4",IF(I427="","",IFERROR(VLOOKUP(I427&amp;"|"&amp;IF(LEFT(H427,2)="2H",2,1)&amp;"|"&amp;IF(G427="slashing",1,0),_lookup!$G$3:$H$18,2,FALSE),""))))</f>
        <v/>
      </c>
      <c r="L427">
        <f>IF(K427="","",IF(OR(G427="channeling",G427="infusing"),"Magical",IF(G427="blocking","Anti-Physical",IF(G427="warding","Anti-Magical","Physical"))))</f>
        <v/>
      </c>
      <c r="O427">
        <f>IF(F427&lt;&gt;"armor","","TBD")</f>
        <v/>
      </c>
      <c r="P427">
        <f>IF(O427="","",IF(OR(G427="channeling",G427="infusing"),"Magical",IF(G427="blocking","Anti-Physical",IF(G427="warding","Anti-Magical","Physical"))))</f>
        <v/>
      </c>
    </row>
    <row r="428">
      <c r="J428">
        <f>IF(G428="","",IFERROR(IF(G428="infusing",IFERROR(LOOKUP(2,1/ISNUMBER(SEARCH(_lookup!$D$3:$D$4,H428)),_lookup!$E$3:$E$4),"INT"),VLOOKUP(G428,_lookup!$A$3:$B$14,2,FALSE)),""))</f>
        <v/>
      </c>
      <c r="K428">
        <f>IF(F428&lt;&gt;"weapon","",IF(G428="miscellaneous","1-4",IF(I428="","",IFERROR(VLOOKUP(I428&amp;"|"&amp;IF(LEFT(H428,2)="2H",2,1)&amp;"|"&amp;IF(G428="slashing",1,0),_lookup!$G$3:$H$18,2,FALSE),""))))</f>
        <v/>
      </c>
      <c r="L428">
        <f>IF(K428="","",IF(OR(G428="channeling",G428="infusing"),"Magical",IF(G428="blocking","Anti-Physical",IF(G428="warding","Anti-Magical","Physical"))))</f>
        <v/>
      </c>
      <c r="O428">
        <f>IF(F428&lt;&gt;"armor","","TBD")</f>
        <v/>
      </c>
      <c r="P428">
        <f>IF(O428="","",IF(OR(G428="channeling",G428="infusing"),"Magical",IF(G428="blocking","Anti-Physical",IF(G428="warding","Anti-Magical","Physical"))))</f>
        <v/>
      </c>
    </row>
    <row r="429">
      <c r="J429">
        <f>IF(G429="","",IFERROR(IF(G429="infusing",IFERROR(LOOKUP(2,1/ISNUMBER(SEARCH(_lookup!$D$3:$D$4,H429)),_lookup!$E$3:$E$4),"INT"),VLOOKUP(G429,_lookup!$A$3:$B$14,2,FALSE)),""))</f>
        <v/>
      </c>
      <c r="K429">
        <f>IF(F429&lt;&gt;"weapon","",IF(G429="miscellaneous","1-4",IF(I429="","",IFERROR(VLOOKUP(I429&amp;"|"&amp;IF(LEFT(H429,2)="2H",2,1)&amp;"|"&amp;IF(G429="slashing",1,0),_lookup!$G$3:$H$18,2,FALSE),""))))</f>
        <v/>
      </c>
      <c r="L429">
        <f>IF(K429="","",IF(OR(G429="channeling",G429="infusing"),"Magical",IF(G429="blocking","Anti-Physical",IF(G429="warding","Anti-Magical","Physical"))))</f>
        <v/>
      </c>
      <c r="O429">
        <f>IF(F429&lt;&gt;"armor","","TBD")</f>
        <v/>
      </c>
      <c r="P429">
        <f>IF(O429="","",IF(OR(G429="channeling",G429="infusing"),"Magical",IF(G429="blocking","Anti-Physical",IF(G429="warding","Anti-Magical","Physical"))))</f>
        <v/>
      </c>
    </row>
    <row r="430">
      <c r="J430">
        <f>IF(G430="","",IFERROR(IF(G430="infusing",IFERROR(LOOKUP(2,1/ISNUMBER(SEARCH(_lookup!$D$3:$D$4,H430)),_lookup!$E$3:$E$4),"INT"),VLOOKUP(G430,_lookup!$A$3:$B$14,2,FALSE)),""))</f>
        <v/>
      </c>
      <c r="K430">
        <f>IF(F430&lt;&gt;"weapon","",IF(G430="miscellaneous","1-4",IF(I430="","",IFERROR(VLOOKUP(I430&amp;"|"&amp;IF(LEFT(H430,2)="2H",2,1)&amp;"|"&amp;IF(G430="slashing",1,0),_lookup!$G$3:$H$18,2,FALSE),""))))</f>
        <v/>
      </c>
      <c r="L430">
        <f>IF(K430="","",IF(OR(G430="channeling",G430="infusing"),"Magical",IF(G430="blocking","Anti-Physical",IF(G430="warding","Anti-Magical","Physical"))))</f>
        <v/>
      </c>
      <c r="O430">
        <f>IF(F430&lt;&gt;"armor","","TBD")</f>
        <v/>
      </c>
      <c r="P430">
        <f>IF(O430="","",IF(OR(G430="channeling",G430="infusing"),"Magical",IF(G430="blocking","Anti-Physical",IF(G430="warding","Anti-Magical","Physical"))))</f>
        <v/>
      </c>
    </row>
    <row r="431">
      <c r="J431">
        <f>IF(G431="","",IFERROR(IF(G431="infusing",IFERROR(LOOKUP(2,1/ISNUMBER(SEARCH(_lookup!$D$3:$D$4,H431)),_lookup!$E$3:$E$4),"INT"),VLOOKUP(G431,_lookup!$A$3:$B$14,2,FALSE)),""))</f>
        <v/>
      </c>
      <c r="K431">
        <f>IF(F431&lt;&gt;"weapon","",IF(G431="miscellaneous","1-4",IF(I431="","",IFERROR(VLOOKUP(I431&amp;"|"&amp;IF(LEFT(H431,2)="2H",2,1)&amp;"|"&amp;IF(G431="slashing",1,0),_lookup!$G$3:$H$18,2,FALSE),""))))</f>
        <v/>
      </c>
      <c r="L431">
        <f>IF(K431="","",IF(OR(G431="channeling",G431="infusing"),"Magical",IF(G431="blocking","Anti-Physical",IF(G431="warding","Anti-Magical","Physical"))))</f>
        <v/>
      </c>
      <c r="O431">
        <f>IF(F431&lt;&gt;"armor","","TBD")</f>
        <v/>
      </c>
      <c r="P431">
        <f>IF(O431="","",IF(OR(G431="channeling",G431="infusing"),"Magical",IF(G431="blocking","Anti-Physical",IF(G431="warding","Anti-Magical","Physical"))))</f>
        <v/>
      </c>
    </row>
    <row r="432">
      <c r="J432">
        <f>IF(G432="","",IFERROR(IF(G432="infusing",IFERROR(LOOKUP(2,1/ISNUMBER(SEARCH(_lookup!$D$3:$D$4,H432)),_lookup!$E$3:$E$4),"INT"),VLOOKUP(G432,_lookup!$A$3:$B$14,2,FALSE)),""))</f>
        <v/>
      </c>
      <c r="K432">
        <f>IF(F432&lt;&gt;"weapon","",IF(G432="miscellaneous","1-4",IF(I432="","",IFERROR(VLOOKUP(I432&amp;"|"&amp;IF(LEFT(H432,2)="2H",2,1)&amp;"|"&amp;IF(G432="slashing",1,0),_lookup!$G$3:$H$18,2,FALSE),""))))</f>
        <v/>
      </c>
      <c r="L432">
        <f>IF(K432="","",IF(OR(G432="channeling",G432="infusing"),"Magical",IF(G432="blocking","Anti-Physical",IF(G432="warding","Anti-Magical","Physical"))))</f>
        <v/>
      </c>
      <c r="O432">
        <f>IF(F432&lt;&gt;"armor","","TBD")</f>
        <v/>
      </c>
      <c r="P432">
        <f>IF(O432="","",IF(OR(G432="channeling",G432="infusing"),"Magical",IF(G432="blocking","Anti-Physical",IF(G432="warding","Anti-Magical","Physical"))))</f>
        <v/>
      </c>
    </row>
    <row r="433">
      <c r="J433">
        <f>IF(G433="","",IFERROR(IF(G433="infusing",IFERROR(LOOKUP(2,1/ISNUMBER(SEARCH(_lookup!$D$3:$D$4,H433)),_lookup!$E$3:$E$4),"INT"),VLOOKUP(G433,_lookup!$A$3:$B$14,2,FALSE)),""))</f>
        <v/>
      </c>
      <c r="K433">
        <f>IF(F433&lt;&gt;"weapon","",IF(G433="miscellaneous","1-4",IF(I433="","",IFERROR(VLOOKUP(I433&amp;"|"&amp;IF(LEFT(H433,2)="2H",2,1)&amp;"|"&amp;IF(G433="slashing",1,0),_lookup!$G$3:$H$18,2,FALSE),""))))</f>
        <v/>
      </c>
      <c r="L433">
        <f>IF(K433="","",IF(OR(G433="channeling",G433="infusing"),"Magical",IF(G433="blocking","Anti-Physical",IF(G433="warding","Anti-Magical","Physical"))))</f>
        <v/>
      </c>
      <c r="O433">
        <f>IF(F433&lt;&gt;"armor","","TBD")</f>
        <v/>
      </c>
      <c r="P433">
        <f>IF(O433="","",IF(OR(G433="channeling",G433="infusing"),"Magical",IF(G433="blocking","Anti-Physical",IF(G433="warding","Anti-Magical","Physical"))))</f>
        <v/>
      </c>
    </row>
    <row r="434">
      <c r="J434">
        <f>IF(G434="","",IFERROR(IF(G434="infusing",IFERROR(LOOKUP(2,1/ISNUMBER(SEARCH(_lookup!$D$3:$D$4,H434)),_lookup!$E$3:$E$4),"INT"),VLOOKUP(G434,_lookup!$A$3:$B$14,2,FALSE)),""))</f>
        <v/>
      </c>
      <c r="K434">
        <f>IF(F434&lt;&gt;"weapon","",IF(G434="miscellaneous","1-4",IF(I434="","",IFERROR(VLOOKUP(I434&amp;"|"&amp;IF(LEFT(H434,2)="2H",2,1)&amp;"|"&amp;IF(G434="slashing",1,0),_lookup!$G$3:$H$18,2,FALSE),""))))</f>
        <v/>
      </c>
      <c r="L434">
        <f>IF(K434="","",IF(OR(G434="channeling",G434="infusing"),"Magical",IF(G434="blocking","Anti-Physical",IF(G434="warding","Anti-Magical","Physical"))))</f>
        <v/>
      </c>
      <c r="O434">
        <f>IF(F434&lt;&gt;"armor","","TBD")</f>
        <v/>
      </c>
      <c r="P434">
        <f>IF(O434="","",IF(OR(G434="channeling",G434="infusing"),"Magical",IF(G434="blocking","Anti-Physical",IF(G434="warding","Anti-Magical","Physical"))))</f>
        <v/>
      </c>
    </row>
    <row r="435">
      <c r="J435">
        <f>IF(G435="","",IFERROR(IF(G435="infusing",IFERROR(LOOKUP(2,1/ISNUMBER(SEARCH(_lookup!$D$3:$D$4,H435)),_lookup!$E$3:$E$4),"INT"),VLOOKUP(G435,_lookup!$A$3:$B$14,2,FALSE)),""))</f>
        <v/>
      </c>
      <c r="K435">
        <f>IF(F435&lt;&gt;"weapon","",IF(G435="miscellaneous","1-4",IF(I435="","",IFERROR(VLOOKUP(I435&amp;"|"&amp;IF(LEFT(H435,2)="2H",2,1)&amp;"|"&amp;IF(G435="slashing",1,0),_lookup!$G$3:$H$18,2,FALSE),""))))</f>
        <v/>
      </c>
      <c r="L435">
        <f>IF(K435="","",IF(OR(G435="channeling",G435="infusing"),"Magical",IF(G435="blocking","Anti-Physical",IF(G435="warding","Anti-Magical","Physical"))))</f>
        <v/>
      </c>
      <c r="O435">
        <f>IF(F435&lt;&gt;"armor","","TBD")</f>
        <v/>
      </c>
      <c r="P435">
        <f>IF(O435="","",IF(OR(G435="channeling",G435="infusing"),"Magical",IF(G435="blocking","Anti-Physical",IF(G435="warding","Anti-Magical","Physical"))))</f>
        <v/>
      </c>
    </row>
    <row r="436">
      <c r="J436">
        <f>IF(G436="","",IFERROR(IF(G436="infusing",IFERROR(LOOKUP(2,1/ISNUMBER(SEARCH(_lookup!$D$3:$D$4,H436)),_lookup!$E$3:$E$4),"INT"),VLOOKUP(G436,_lookup!$A$3:$B$14,2,FALSE)),""))</f>
        <v/>
      </c>
      <c r="K436">
        <f>IF(F436&lt;&gt;"weapon","",IF(G436="miscellaneous","1-4",IF(I436="","",IFERROR(VLOOKUP(I436&amp;"|"&amp;IF(LEFT(H436,2)="2H",2,1)&amp;"|"&amp;IF(G436="slashing",1,0),_lookup!$G$3:$H$18,2,FALSE),""))))</f>
        <v/>
      </c>
      <c r="L436">
        <f>IF(K436="","",IF(OR(G436="channeling",G436="infusing"),"Magical",IF(G436="blocking","Anti-Physical",IF(G436="warding","Anti-Magical","Physical"))))</f>
        <v/>
      </c>
      <c r="O436">
        <f>IF(F436&lt;&gt;"armor","","TBD")</f>
        <v/>
      </c>
      <c r="P436">
        <f>IF(O436="","",IF(OR(G436="channeling",G436="infusing"),"Magical",IF(G436="blocking","Anti-Physical",IF(G436="warding","Anti-Magical","Physical"))))</f>
        <v/>
      </c>
    </row>
    <row r="437">
      <c r="J437">
        <f>IF(G437="","",IFERROR(IF(G437="infusing",IFERROR(LOOKUP(2,1/ISNUMBER(SEARCH(_lookup!$D$3:$D$4,H437)),_lookup!$E$3:$E$4),"INT"),VLOOKUP(G437,_lookup!$A$3:$B$14,2,FALSE)),""))</f>
        <v/>
      </c>
      <c r="K437">
        <f>IF(F437&lt;&gt;"weapon","",IF(G437="miscellaneous","1-4",IF(I437="","",IFERROR(VLOOKUP(I437&amp;"|"&amp;IF(LEFT(H437,2)="2H",2,1)&amp;"|"&amp;IF(G437="slashing",1,0),_lookup!$G$3:$H$18,2,FALSE),""))))</f>
        <v/>
      </c>
      <c r="L437">
        <f>IF(K437="","",IF(OR(G437="channeling",G437="infusing"),"Magical",IF(G437="blocking","Anti-Physical",IF(G437="warding","Anti-Magical","Physical"))))</f>
        <v/>
      </c>
      <c r="O437">
        <f>IF(F437&lt;&gt;"armor","","TBD")</f>
        <v/>
      </c>
      <c r="P437">
        <f>IF(O437="","",IF(OR(G437="channeling",G437="infusing"),"Magical",IF(G437="blocking","Anti-Physical",IF(G437="warding","Anti-Magical","Physical"))))</f>
        <v/>
      </c>
    </row>
    <row r="438">
      <c r="J438">
        <f>IF(G438="","",IFERROR(IF(G438="infusing",IFERROR(LOOKUP(2,1/ISNUMBER(SEARCH(_lookup!$D$3:$D$4,H438)),_lookup!$E$3:$E$4),"INT"),VLOOKUP(G438,_lookup!$A$3:$B$14,2,FALSE)),""))</f>
        <v/>
      </c>
      <c r="K438">
        <f>IF(F438&lt;&gt;"weapon","",IF(G438="miscellaneous","1-4",IF(I438="","",IFERROR(VLOOKUP(I438&amp;"|"&amp;IF(LEFT(H438,2)="2H",2,1)&amp;"|"&amp;IF(G438="slashing",1,0),_lookup!$G$3:$H$18,2,FALSE),""))))</f>
        <v/>
      </c>
      <c r="L438">
        <f>IF(K438="","",IF(OR(G438="channeling",G438="infusing"),"Magical",IF(G438="blocking","Anti-Physical",IF(G438="warding","Anti-Magical","Physical"))))</f>
        <v/>
      </c>
      <c r="O438">
        <f>IF(F438&lt;&gt;"armor","","TBD")</f>
        <v/>
      </c>
      <c r="P438">
        <f>IF(O438="","",IF(OR(G438="channeling",G438="infusing"),"Magical",IF(G438="blocking","Anti-Physical",IF(G438="warding","Anti-Magical","Physical"))))</f>
        <v/>
      </c>
    </row>
    <row r="439">
      <c r="J439">
        <f>IF(G439="","",IFERROR(IF(G439="infusing",IFERROR(LOOKUP(2,1/ISNUMBER(SEARCH(_lookup!$D$3:$D$4,H439)),_lookup!$E$3:$E$4),"INT"),VLOOKUP(G439,_lookup!$A$3:$B$14,2,FALSE)),""))</f>
        <v/>
      </c>
      <c r="K439">
        <f>IF(F439&lt;&gt;"weapon","",IF(G439="miscellaneous","1-4",IF(I439="","",IFERROR(VLOOKUP(I439&amp;"|"&amp;IF(LEFT(H439,2)="2H",2,1)&amp;"|"&amp;IF(G439="slashing",1,0),_lookup!$G$3:$H$18,2,FALSE),""))))</f>
        <v/>
      </c>
      <c r="L439">
        <f>IF(K439="","",IF(OR(G439="channeling",G439="infusing"),"Magical",IF(G439="blocking","Anti-Physical",IF(G439="warding","Anti-Magical","Physical"))))</f>
        <v/>
      </c>
      <c r="O439">
        <f>IF(F439&lt;&gt;"armor","","TBD")</f>
        <v/>
      </c>
      <c r="P439">
        <f>IF(O439="","",IF(OR(G439="channeling",G439="infusing"),"Magical",IF(G439="blocking","Anti-Physical",IF(G439="warding","Anti-Magical","Physical"))))</f>
        <v/>
      </c>
    </row>
    <row r="440">
      <c r="J440">
        <f>IF(G440="","",IFERROR(IF(G440="infusing",IFERROR(LOOKUP(2,1/ISNUMBER(SEARCH(_lookup!$D$3:$D$4,H440)),_lookup!$E$3:$E$4),"INT"),VLOOKUP(G440,_lookup!$A$3:$B$14,2,FALSE)),""))</f>
        <v/>
      </c>
      <c r="K440">
        <f>IF(F440&lt;&gt;"weapon","",IF(G440="miscellaneous","1-4",IF(I440="","",IFERROR(VLOOKUP(I440&amp;"|"&amp;IF(LEFT(H440,2)="2H",2,1)&amp;"|"&amp;IF(G440="slashing",1,0),_lookup!$G$3:$H$18,2,FALSE),""))))</f>
        <v/>
      </c>
      <c r="L440">
        <f>IF(K440="","",IF(OR(G440="channeling",G440="infusing"),"Magical",IF(G440="blocking","Anti-Physical",IF(G440="warding","Anti-Magical","Physical"))))</f>
        <v/>
      </c>
      <c r="O440">
        <f>IF(F440&lt;&gt;"armor","","TBD")</f>
        <v/>
      </c>
      <c r="P440">
        <f>IF(O440="","",IF(OR(G440="channeling",G440="infusing"),"Magical",IF(G440="blocking","Anti-Physical",IF(G440="warding","Anti-Magical","Physical"))))</f>
        <v/>
      </c>
    </row>
    <row r="441">
      <c r="J441">
        <f>IF(G441="","",IFERROR(IF(G441="infusing",IFERROR(LOOKUP(2,1/ISNUMBER(SEARCH(_lookup!$D$3:$D$4,H441)),_lookup!$E$3:$E$4),"INT"),VLOOKUP(G441,_lookup!$A$3:$B$14,2,FALSE)),""))</f>
        <v/>
      </c>
      <c r="K441">
        <f>IF(F441&lt;&gt;"weapon","",IF(G441="miscellaneous","1-4",IF(I441="","",IFERROR(VLOOKUP(I441&amp;"|"&amp;IF(LEFT(H441,2)="2H",2,1)&amp;"|"&amp;IF(G441="slashing",1,0),_lookup!$G$3:$H$18,2,FALSE),""))))</f>
        <v/>
      </c>
      <c r="L441">
        <f>IF(K441="","",IF(OR(G441="channeling",G441="infusing"),"Magical",IF(G441="blocking","Anti-Physical",IF(G441="warding","Anti-Magical","Physical"))))</f>
        <v/>
      </c>
      <c r="O441">
        <f>IF(F441&lt;&gt;"armor","","TBD")</f>
        <v/>
      </c>
      <c r="P441">
        <f>IF(O441="","",IF(OR(G441="channeling",G441="infusing"),"Magical",IF(G441="blocking","Anti-Physical",IF(G441="warding","Anti-Magical","Physical"))))</f>
        <v/>
      </c>
    </row>
    <row r="442">
      <c r="J442">
        <f>IF(G442="","",IFERROR(IF(G442="infusing",IFERROR(LOOKUP(2,1/ISNUMBER(SEARCH(_lookup!$D$3:$D$4,H442)),_lookup!$E$3:$E$4),"INT"),VLOOKUP(G442,_lookup!$A$3:$B$14,2,FALSE)),""))</f>
        <v/>
      </c>
      <c r="K442">
        <f>IF(F442&lt;&gt;"weapon","",IF(G442="miscellaneous","1-4",IF(I442="","",IFERROR(VLOOKUP(I442&amp;"|"&amp;IF(LEFT(H442,2)="2H",2,1)&amp;"|"&amp;IF(G442="slashing",1,0),_lookup!$G$3:$H$18,2,FALSE),""))))</f>
        <v/>
      </c>
      <c r="L442">
        <f>IF(K442="","",IF(OR(G442="channeling",G442="infusing"),"Magical",IF(G442="blocking","Anti-Physical",IF(G442="warding","Anti-Magical","Physical"))))</f>
        <v/>
      </c>
      <c r="O442">
        <f>IF(F442&lt;&gt;"armor","","TBD")</f>
        <v/>
      </c>
      <c r="P442">
        <f>IF(O442="","",IF(OR(G442="channeling",G442="infusing"),"Magical",IF(G442="blocking","Anti-Physical",IF(G442="warding","Anti-Magical","Physical"))))</f>
        <v/>
      </c>
    </row>
    <row r="443">
      <c r="J443">
        <f>IF(G443="","",IFERROR(IF(G443="infusing",IFERROR(LOOKUP(2,1/ISNUMBER(SEARCH(_lookup!$D$3:$D$4,H443)),_lookup!$E$3:$E$4),"INT"),VLOOKUP(G443,_lookup!$A$3:$B$14,2,FALSE)),""))</f>
        <v/>
      </c>
      <c r="K443">
        <f>IF(F443&lt;&gt;"weapon","",IF(G443="miscellaneous","1-4",IF(I443="","",IFERROR(VLOOKUP(I443&amp;"|"&amp;IF(LEFT(H443,2)="2H",2,1)&amp;"|"&amp;IF(G443="slashing",1,0),_lookup!$G$3:$H$18,2,FALSE),""))))</f>
        <v/>
      </c>
      <c r="L443">
        <f>IF(K443="","",IF(OR(G443="channeling",G443="infusing"),"Magical",IF(G443="blocking","Anti-Physical",IF(G443="warding","Anti-Magical","Physical"))))</f>
        <v/>
      </c>
      <c r="O443">
        <f>IF(F443&lt;&gt;"armor","","TBD")</f>
        <v/>
      </c>
      <c r="P443">
        <f>IF(O443="","",IF(OR(G443="channeling",G443="infusing"),"Magical",IF(G443="blocking","Anti-Physical",IF(G443="warding","Anti-Magical","Physical"))))</f>
        <v/>
      </c>
    </row>
    <row r="444">
      <c r="J444">
        <f>IF(G444="","",IFERROR(IF(G444="infusing",IFERROR(LOOKUP(2,1/ISNUMBER(SEARCH(_lookup!$D$3:$D$4,H444)),_lookup!$E$3:$E$4),"INT"),VLOOKUP(G444,_lookup!$A$3:$B$14,2,FALSE)),""))</f>
        <v/>
      </c>
      <c r="K444">
        <f>IF(F444&lt;&gt;"weapon","",IF(G444="miscellaneous","1-4",IF(I444="","",IFERROR(VLOOKUP(I444&amp;"|"&amp;IF(LEFT(H444,2)="2H",2,1)&amp;"|"&amp;IF(G444="slashing",1,0),_lookup!$G$3:$H$18,2,FALSE),""))))</f>
        <v/>
      </c>
      <c r="L444">
        <f>IF(K444="","",IF(OR(G444="channeling",G444="infusing"),"Magical",IF(G444="blocking","Anti-Physical",IF(G444="warding","Anti-Magical","Physical"))))</f>
        <v/>
      </c>
      <c r="O444">
        <f>IF(F444&lt;&gt;"armor","","TBD")</f>
        <v/>
      </c>
      <c r="P444">
        <f>IF(O444="","",IF(OR(G444="channeling",G444="infusing"),"Magical",IF(G444="blocking","Anti-Physical",IF(G444="warding","Anti-Magical","Physical"))))</f>
        <v/>
      </c>
    </row>
    <row r="445">
      <c r="J445">
        <f>IF(G445="","",IFERROR(IF(G445="infusing",IFERROR(LOOKUP(2,1/ISNUMBER(SEARCH(_lookup!$D$3:$D$4,H445)),_lookup!$E$3:$E$4),"INT"),VLOOKUP(G445,_lookup!$A$3:$B$14,2,FALSE)),""))</f>
        <v/>
      </c>
      <c r="K445">
        <f>IF(F445&lt;&gt;"weapon","",IF(G445="miscellaneous","1-4",IF(I445="","",IFERROR(VLOOKUP(I445&amp;"|"&amp;IF(LEFT(H445,2)="2H",2,1)&amp;"|"&amp;IF(G445="slashing",1,0),_lookup!$G$3:$H$18,2,FALSE),""))))</f>
        <v/>
      </c>
      <c r="L445">
        <f>IF(K445="","",IF(OR(G445="channeling",G445="infusing"),"Magical",IF(G445="blocking","Anti-Physical",IF(G445="warding","Anti-Magical","Physical"))))</f>
        <v/>
      </c>
      <c r="O445">
        <f>IF(F445&lt;&gt;"armor","","TBD")</f>
        <v/>
      </c>
      <c r="P445">
        <f>IF(O445="","",IF(OR(G445="channeling",G445="infusing"),"Magical",IF(G445="blocking","Anti-Physical",IF(G445="warding","Anti-Magical","Physical"))))</f>
        <v/>
      </c>
    </row>
    <row r="446">
      <c r="J446">
        <f>IF(G446="","",IFERROR(IF(G446="infusing",IFERROR(LOOKUP(2,1/ISNUMBER(SEARCH(_lookup!$D$3:$D$4,H446)),_lookup!$E$3:$E$4),"INT"),VLOOKUP(G446,_lookup!$A$3:$B$14,2,FALSE)),""))</f>
        <v/>
      </c>
      <c r="K446">
        <f>IF(F446&lt;&gt;"weapon","",IF(G446="miscellaneous","1-4",IF(I446="","",IFERROR(VLOOKUP(I446&amp;"|"&amp;IF(LEFT(H446,2)="2H",2,1)&amp;"|"&amp;IF(G446="slashing",1,0),_lookup!$G$3:$H$18,2,FALSE),""))))</f>
        <v/>
      </c>
      <c r="L446">
        <f>IF(K446="","",IF(OR(G446="channeling",G446="infusing"),"Magical",IF(G446="blocking","Anti-Physical",IF(G446="warding","Anti-Magical","Physical"))))</f>
        <v/>
      </c>
      <c r="O446">
        <f>IF(F446&lt;&gt;"armor","","TBD")</f>
        <v/>
      </c>
      <c r="P446">
        <f>IF(O446="","",IF(OR(G446="channeling",G446="infusing"),"Magical",IF(G446="blocking","Anti-Physical",IF(G446="warding","Anti-Magical","Physical"))))</f>
        <v/>
      </c>
    </row>
    <row r="447">
      <c r="J447">
        <f>IF(G447="","",IFERROR(IF(G447="infusing",IFERROR(LOOKUP(2,1/ISNUMBER(SEARCH(_lookup!$D$3:$D$4,H447)),_lookup!$E$3:$E$4),"INT"),VLOOKUP(G447,_lookup!$A$3:$B$14,2,FALSE)),""))</f>
        <v/>
      </c>
      <c r="K447">
        <f>IF(F447&lt;&gt;"weapon","",IF(G447="miscellaneous","1-4",IF(I447="","",IFERROR(VLOOKUP(I447&amp;"|"&amp;IF(LEFT(H447,2)="2H",2,1)&amp;"|"&amp;IF(G447="slashing",1,0),_lookup!$G$3:$H$18,2,FALSE),""))))</f>
        <v/>
      </c>
      <c r="L447">
        <f>IF(K447="","",IF(OR(G447="channeling",G447="infusing"),"Magical",IF(G447="blocking","Anti-Physical",IF(G447="warding","Anti-Magical","Physical"))))</f>
        <v/>
      </c>
      <c r="O447">
        <f>IF(F447&lt;&gt;"armor","","TBD")</f>
        <v/>
      </c>
      <c r="P447">
        <f>IF(O447="","",IF(OR(G447="channeling",G447="infusing"),"Magical",IF(G447="blocking","Anti-Physical",IF(G447="warding","Anti-Magical","Physical"))))</f>
        <v/>
      </c>
    </row>
    <row r="448">
      <c r="J448">
        <f>IF(G448="","",IFERROR(IF(G448="infusing",IFERROR(LOOKUP(2,1/ISNUMBER(SEARCH(_lookup!$D$3:$D$4,H448)),_lookup!$E$3:$E$4),"INT"),VLOOKUP(G448,_lookup!$A$3:$B$14,2,FALSE)),""))</f>
        <v/>
      </c>
      <c r="K448">
        <f>IF(F448&lt;&gt;"weapon","",IF(G448="miscellaneous","1-4",IF(I448="","",IFERROR(VLOOKUP(I448&amp;"|"&amp;IF(LEFT(H448,2)="2H",2,1)&amp;"|"&amp;IF(G448="slashing",1,0),_lookup!$G$3:$H$18,2,FALSE),""))))</f>
        <v/>
      </c>
      <c r="L448">
        <f>IF(K448="","",IF(OR(G448="channeling",G448="infusing"),"Magical",IF(G448="blocking","Anti-Physical",IF(G448="warding","Anti-Magical","Physical"))))</f>
        <v/>
      </c>
      <c r="O448">
        <f>IF(F448&lt;&gt;"armor","","TBD")</f>
        <v/>
      </c>
      <c r="P448">
        <f>IF(O448="","",IF(OR(G448="channeling",G448="infusing"),"Magical",IF(G448="blocking","Anti-Physical",IF(G448="warding","Anti-Magical","Physical"))))</f>
        <v/>
      </c>
    </row>
    <row r="449">
      <c r="J449">
        <f>IF(G449="","",IFERROR(IF(G449="infusing",IFERROR(LOOKUP(2,1/ISNUMBER(SEARCH(_lookup!$D$3:$D$4,H449)),_lookup!$E$3:$E$4),"INT"),VLOOKUP(G449,_lookup!$A$3:$B$14,2,FALSE)),""))</f>
        <v/>
      </c>
      <c r="K449">
        <f>IF(F449&lt;&gt;"weapon","",IF(G449="miscellaneous","1-4",IF(I449="","",IFERROR(VLOOKUP(I449&amp;"|"&amp;IF(LEFT(H449,2)="2H",2,1)&amp;"|"&amp;IF(G449="slashing",1,0),_lookup!$G$3:$H$18,2,FALSE),""))))</f>
        <v/>
      </c>
      <c r="L449">
        <f>IF(K449="","",IF(OR(G449="channeling",G449="infusing"),"Magical",IF(G449="blocking","Anti-Physical",IF(G449="warding","Anti-Magical","Physical"))))</f>
        <v/>
      </c>
      <c r="O449">
        <f>IF(F449&lt;&gt;"armor","","TBD")</f>
        <v/>
      </c>
      <c r="P449">
        <f>IF(O449="","",IF(OR(G449="channeling",G449="infusing"),"Magical",IF(G449="blocking","Anti-Physical",IF(G449="warding","Anti-Magical","Physical"))))</f>
        <v/>
      </c>
    </row>
    <row r="450">
      <c r="J450">
        <f>IF(G450="","",IFERROR(IF(G450="infusing",IFERROR(LOOKUP(2,1/ISNUMBER(SEARCH(_lookup!$D$3:$D$4,H450)),_lookup!$E$3:$E$4),"INT"),VLOOKUP(G450,_lookup!$A$3:$B$14,2,FALSE)),""))</f>
        <v/>
      </c>
      <c r="K450">
        <f>IF(F450&lt;&gt;"weapon","",IF(G450="miscellaneous","1-4",IF(I450="","",IFERROR(VLOOKUP(I450&amp;"|"&amp;IF(LEFT(H450,2)="2H",2,1)&amp;"|"&amp;IF(G450="slashing",1,0),_lookup!$G$3:$H$18,2,FALSE),""))))</f>
        <v/>
      </c>
      <c r="L450">
        <f>IF(K450="","",IF(OR(G450="channeling",G450="infusing"),"Magical",IF(G450="blocking","Anti-Physical",IF(G450="warding","Anti-Magical","Physical"))))</f>
        <v/>
      </c>
      <c r="O450">
        <f>IF(F450&lt;&gt;"armor","","TBD")</f>
        <v/>
      </c>
      <c r="P450">
        <f>IF(O450="","",IF(OR(G450="channeling",G450="infusing"),"Magical",IF(G450="blocking","Anti-Physical",IF(G450="warding","Anti-Magical","Physical"))))</f>
        <v/>
      </c>
    </row>
    <row r="451">
      <c r="J451">
        <f>IF(G451="","",IFERROR(IF(G451="infusing",IFERROR(LOOKUP(2,1/ISNUMBER(SEARCH(_lookup!$D$3:$D$4,H451)),_lookup!$E$3:$E$4),"INT"),VLOOKUP(G451,_lookup!$A$3:$B$14,2,FALSE)),""))</f>
        <v/>
      </c>
      <c r="K451">
        <f>IF(F451&lt;&gt;"weapon","",IF(G451="miscellaneous","1-4",IF(I451="","",IFERROR(VLOOKUP(I451&amp;"|"&amp;IF(LEFT(H451,2)="2H",2,1)&amp;"|"&amp;IF(G451="slashing",1,0),_lookup!$G$3:$H$18,2,FALSE),""))))</f>
        <v/>
      </c>
      <c r="L451">
        <f>IF(K451="","",IF(OR(G451="channeling",G451="infusing"),"Magical",IF(G451="blocking","Anti-Physical",IF(G451="warding","Anti-Magical","Physical"))))</f>
        <v/>
      </c>
      <c r="O451">
        <f>IF(F451&lt;&gt;"armor","","TBD")</f>
        <v/>
      </c>
      <c r="P451">
        <f>IF(O451="","",IF(OR(G451="channeling",G451="infusing"),"Magical",IF(G451="blocking","Anti-Physical",IF(G451="warding","Anti-Magical","Physical"))))</f>
        <v/>
      </c>
    </row>
    <row r="452">
      <c r="J452">
        <f>IF(G452="","",IFERROR(IF(G452="infusing",IFERROR(LOOKUP(2,1/ISNUMBER(SEARCH(_lookup!$D$3:$D$4,H452)),_lookup!$E$3:$E$4),"INT"),VLOOKUP(G452,_lookup!$A$3:$B$14,2,FALSE)),""))</f>
        <v/>
      </c>
      <c r="K452">
        <f>IF(F452&lt;&gt;"weapon","",IF(G452="miscellaneous","1-4",IF(I452="","",IFERROR(VLOOKUP(I452&amp;"|"&amp;IF(LEFT(H452,2)="2H",2,1)&amp;"|"&amp;IF(G452="slashing",1,0),_lookup!$G$3:$H$18,2,FALSE),""))))</f>
        <v/>
      </c>
      <c r="L452">
        <f>IF(K452="","",IF(OR(G452="channeling",G452="infusing"),"Magical",IF(G452="blocking","Anti-Physical",IF(G452="warding","Anti-Magical","Physical"))))</f>
        <v/>
      </c>
      <c r="O452">
        <f>IF(F452&lt;&gt;"armor","","TBD")</f>
        <v/>
      </c>
      <c r="P452">
        <f>IF(O452="","",IF(OR(G452="channeling",G452="infusing"),"Magical",IF(G452="blocking","Anti-Physical",IF(G452="warding","Anti-Magical","Physical"))))</f>
        <v/>
      </c>
    </row>
    <row r="453">
      <c r="J453">
        <f>IF(G453="","",IFERROR(IF(G453="infusing",IFERROR(LOOKUP(2,1/ISNUMBER(SEARCH(_lookup!$D$3:$D$4,H453)),_lookup!$E$3:$E$4),"INT"),VLOOKUP(G453,_lookup!$A$3:$B$14,2,FALSE)),""))</f>
        <v/>
      </c>
      <c r="K453">
        <f>IF(F453&lt;&gt;"weapon","",IF(G453="miscellaneous","1-4",IF(I453="","",IFERROR(VLOOKUP(I453&amp;"|"&amp;IF(LEFT(H453,2)="2H",2,1)&amp;"|"&amp;IF(G453="slashing",1,0),_lookup!$G$3:$H$18,2,FALSE),""))))</f>
        <v/>
      </c>
      <c r="L453">
        <f>IF(K453="","",IF(OR(G453="channeling",G453="infusing"),"Magical",IF(G453="blocking","Anti-Physical",IF(G453="warding","Anti-Magical","Physical"))))</f>
        <v/>
      </c>
      <c r="O453">
        <f>IF(F453&lt;&gt;"armor","","TBD")</f>
        <v/>
      </c>
      <c r="P453">
        <f>IF(O453="","",IF(OR(G453="channeling",G453="infusing"),"Magical",IF(G453="blocking","Anti-Physical",IF(G453="warding","Anti-Magical","Physical"))))</f>
        <v/>
      </c>
    </row>
    <row r="454">
      <c r="J454">
        <f>IF(G454="","",IFERROR(IF(G454="infusing",IFERROR(LOOKUP(2,1/ISNUMBER(SEARCH(_lookup!$D$3:$D$4,H454)),_lookup!$E$3:$E$4),"INT"),VLOOKUP(G454,_lookup!$A$3:$B$14,2,FALSE)),""))</f>
        <v/>
      </c>
      <c r="K454">
        <f>IF(F454&lt;&gt;"weapon","",IF(G454="miscellaneous","1-4",IF(I454="","",IFERROR(VLOOKUP(I454&amp;"|"&amp;IF(LEFT(H454,2)="2H",2,1)&amp;"|"&amp;IF(G454="slashing",1,0),_lookup!$G$3:$H$18,2,FALSE),""))))</f>
        <v/>
      </c>
      <c r="L454">
        <f>IF(K454="","",IF(OR(G454="channeling",G454="infusing"),"Magical",IF(G454="blocking","Anti-Physical",IF(G454="warding","Anti-Magical","Physical"))))</f>
        <v/>
      </c>
      <c r="O454">
        <f>IF(F454&lt;&gt;"armor","","TBD")</f>
        <v/>
      </c>
      <c r="P454">
        <f>IF(O454="","",IF(OR(G454="channeling",G454="infusing"),"Magical",IF(G454="blocking","Anti-Physical",IF(G454="warding","Anti-Magical","Physical"))))</f>
        <v/>
      </c>
    </row>
    <row r="455">
      <c r="J455">
        <f>IF(G455="","",IFERROR(IF(G455="infusing",IFERROR(LOOKUP(2,1/ISNUMBER(SEARCH(_lookup!$D$3:$D$4,H455)),_lookup!$E$3:$E$4),"INT"),VLOOKUP(G455,_lookup!$A$3:$B$14,2,FALSE)),""))</f>
        <v/>
      </c>
      <c r="K455">
        <f>IF(F455&lt;&gt;"weapon","",IF(G455="miscellaneous","1-4",IF(I455="","",IFERROR(VLOOKUP(I455&amp;"|"&amp;IF(LEFT(H455,2)="2H",2,1)&amp;"|"&amp;IF(G455="slashing",1,0),_lookup!$G$3:$H$18,2,FALSE),""))))</f>
        <v/>
      </c>
      <c r="L455">
        <f>IF(K455="","",IF(OR(G455="channeling",G455="infusing"),"Magical",IF(G455="blocking","Anti-Physical",IF(G455="warding","Anti-Magical","Physical"))))</f>
        <v/>
      </c>
      <c r="O455">
        <f>IF(F455&lt;&gt;"armor","","TBD")</f>
        <v/>
      </c>
      <c r="P455">
        <f>IF(O455="","",IF(OR(G455="channeling",G455="infusing"),"Magical",IF(G455="blocking","Anti-Physical",IF(G455="warding","Anti-Magical","Physical"))))</f>
        <v/>
      </c>
    </row>
    <row r="456">
      <c r="J456">
        <f>IF(G456="","",IFERROR(IF(G456="infusing",IFERROR(LOOKUP(2,1/ISNUMBER(SEARCH(_lookup!$D$3:$D$4,H456)),_lookup!$E$3:$E$4),"INT"),VLOOKUP(G456,_lookup!$A$3:$B$14,2,FALSE)),""))</f>
        <v/>
      </c>
      <c r="K456">
        <f>IF(F456&lt;&gt;"weapon","",IF(G456="miscellaneous","1-4",IF(I456="","",IFERROR(VLOOKUP(I456&amp;"|"&amp;IF(LEFT(H456,2)="2H",2,1)&amp;"|"&amp;IF(G456="slashing",1,0),_lookup!$G$3:$H$18,2,FALSE),""))))</f>
        <v/>
      </c>
      <c r="L456">
        <f>IF(K456="","",IF(OR(G456="channeling",G456="infusing"),"Magical",IF(G456="blocking","Anti-Physical",IF(G456="warding","Anti-Magical","Physical"))))</f>
        <v/>
      </c>
      <c r="O456">
        <f>IF(F456&lt;&gt;"armor","","TBD")</f>
        <v/>
      </c>
      <c r="P456">
        <f>IF(O456="","",IF(OR(G456="channeling",G456="infusing"),"Magical",IF(G456="blocking","Anti-Physical",IF(G456="warding","Anti-Magical","Physical"))))</f>
        <v/>
      </c>
    </row>
    <row r="457">
      <c r="J457">
        <f>IF(G457="","",IFERROR(IF(G457="infusing",IFERROR(LOOKUP(2,1/ISNUMBER(SEARCH(_lookup!$D$3:$D$4,H457)),_lookup!$E$3:$E$4),"INT"),VLOOKUP(G457,_lookup!$A$3:$B$14,2,FALSE)),""))</f>
        <v/>
      </c>
      <c r="K457">
        <f>IF(F457&lt;&gt;"weapon","",IF(G457="miscellaneous","1-4",IF(I457="","",IFERROR(VLOOKUP(I457&amp;"|"&amp;IF(LEFT(H457,2)="2H",2,1)&amp;"|"&amp;IF(G457="slashing",1,0),_lookup!$G$3:$H$18,2,FALSE),""))))</f>
        <v/>
      </c>
      <c r="L457">
        <f>IF(K457="","",IF(OR(G457="channeling",G457="infusing"),"Magical",IF(G457="blocking","Anti-Physical",IF(G457="warding","Anti-Magical","Physical"))))</f>
        <v/>
      </c>
      <c r="O457">
        <f>IF(F457&lt;&gt;"armor","","TBD")</f>
        <v/>
      </c>
      <c r="P457">
        <f>IF(O457="","",IF(OR(G457="channeling",G457="infusing"),"Magical",IF(G457="blocking","Anti-Physical",IF(G457="warding","Anti-Magical","Physical"))))</f>
        <v/>
      </c>
    </row>
    <row r="458">
      <c r="J458">
        <f>IF(G458="","",IFERROR(IF(G458="infusing",IFERROR(LOOKUP(2,1/ISNUMBER(SEARCH(_lookup!$D$3:$D$4,H458)),_lookup!$E$3:$E$4),"INT"),VLOOKUP(G458,_lookup!$A$3:$B$14,2,FALSE)),""))</f>
        <v/>
      </c>
      <c r="K458">
        <f>IF(F458&lt;&gt;"weapon","",IF(G458="miscellaneous","1-4",IF(I458="","",IFERROR(VLOOKUP(I458&amp;"|"&amp;IF(LEFT(H458,2)="2H",2,1)&amp;"|"&amp;IF(G458="slashing",1,0),_lookup!$G$3:$H$18,2,FALSE),""))))</f>
        <v/>
      </c>
      <c r="L458">
        <f>IF(K458="","",IF(OR(G458="channeling",G458="infusing"),"Magical",IF(G458="blocking","Anti-Physical",IF(G458="warding","Anti-Magical","Physical"))))</f>
        <v/>
      </c>
      <c r="O458">
        <f>IF(F458&lt;&gt;"armor","","TBD")</f>
        <v/>
      </c>
      <c r="P458">
        <f>IF(O458="","",IF(OR(G458="channeling",G458="infusing"),"Magical",IF(G458="blocking","Anti-Physical",IF(G458="warding","Anti-Magical","Physical"))))</f>
        <v/>
      </c>
    </row>
    <row r="459">
      <c r="J459">
        <f>IF(G459="","",IFERROR(IF(G459="infusing",IFERROR(LOOKUP(2,1/ISNUMBER(SEARCH(_lookup!$D$3:$D$4,H459)),_lookup!$E$3:$E$4),"INT"),VLOOKUP(G459,_lookup!$A$3:$B$14,2,FALSE)),""))</f>
        <v/>
      </c>
      <c r="K459">
        <f>IF(F459&lt;&gt;"weapon","",IF(G459="miscellaneous","1-4",IF(I459="","",IFERROR(VLOOKUP(I459&amp;"|"&amp;IF(LEFT(H459,2)="2H",2,1)&amp;"|"&amp;IF(G459="slashing",1,0),_lookup!$G$3:$H$18,2,FALSE),""))))</f>
        <v/>
      </c>
      <c r="L459">
        <f>IF(K459="","",IF(OR(G459="channeling",G459="infusing"),"Magical",IF(G459="blocking","Anti-Physical",IF(G459="warding","Anti-Magical","Physical"))))</f>
        <v/>
      </c>
      <c r="O459">
        <f>IF(F459&lt;&gt;"armor","","TBD")</f>
        <v/>
      </c>
      <c r="P459">
        <f>IF(O459="","",IF(OR(G459="channeling",G459="infusing"),"Magical",IF(G459="blocking","Anti-Physical",IF(G459="warding","Anti-Magical","Physical"))))</f>
        <v/>
      </c>
    </row>
    <row r="460">
      <c r="J460">
        <f>IF(G460="","",IFERROR(IF(G460="infusing",IFERROR(LOOKUP(2,1/ISNUMBER(SEARCH(_lookup!$D$3:$D$4,H460)),_lookup!$E$3:$E$4),"INT"),VLOOKUP(G460,_lookup!$A$3:$B$14,2,FALSE)),""))</f>
        <v/>
      </c>
      <c r="K460">
        <f>IF(F460&lt;&gt;"weapon","",IF(G460="miscellaneous","1-4",IF(I460="","",IFERROR(VLOOKUP(I460&amp;"|"&amp;IF(LEFT(H460,2)="2H",2,1)&amp;"|"&amp;IF(G460="slashing",1,0),_lookup!$G$3:$H$18,2,FALSE),""))))</f>
        <v/>
      </c>
      <c r="L460">
        <f>IF(K460="","",IF(OR(G460="channeling",G460="infusing"),"Magical",IF(G460="blocking","Anti-Physical",IF(G460="warding","Anti-Magical","Physical"))))</f>
        <v/>
      </c>
      <c r="O460">
        <f>IF(F460&lt;&gt;"armor","","TBD")</f>
        <v/>
      </c>
      <c r="P460">
        <f>IF(O460="","",IF(OR(G460="channeling",G460="infusing"),"Magical",IF(G460="blocking","Anti-Physical",IF(G460="warding","Anti-Magical","Physical"))))</f>
        <v/>
      </c>
    </row>
    <row r="461">
      <c r="J461">
        <f>IF(G461="","",IFERROR(IF(G461="infusing",IFERROR(LOOKUP(2,1/ISNUMBER(SEARCH(_lookup!$D$3:$D$4,H461)),_lookup!$E$3:$E$4),"INT"),VLOOKUP(G461,_lookup!$A$3:$B$14,2,FALSE)),""))</f>
        <v/>
      </c>
      <c r="K461">
        <f>IF(F461&lt;&gt;"weapon","",IF(G461="miscellaneous","1-4",IF(I461="","",IFERROR(VLOOKUP(I461&amp;"|"&amp;IF(LEFT(H461,2)="2H",2,1)&amp;"|"&amp;IF(G461="slashing",1,0),_lookup!$G$3:$H$18,2,FALSE),""))))</f>
        <v/>
      </c>
      <c r="L461">
        <f>IF(K461="","",IF(OR(G461="channeling",G461="infusing"),"Magical",IF(G461="blocking","Anti-Physical",IF(G461="warding","Anti-Magical","Physical"))))</f>
        <v/>
      </c>
      <c r="O461">
        <f>IF(F461&lt;&gt;"armor","","TBD")</f>
        <v/>
      </c>
      <c r="P461">
        <f>IF(O461="","",IF(OR(G461="channeling",G461="infusing"),"Magical",IF(G461="blocking","Anti-Physical",IF(G461="warding","Anti-Magical","Physical"))))</f>
        <v/>
      </c>
    </row>
    <row r="462">
      <c r="J462">
        <f>IF(G462="","",IFERROR(IF(G462="infusing",IFERROR(LOOKUP(2,1/ISNUMBER(SEARCH(_lookup!$D$3:$D$4,H462)),_lookup!$E$3:$E$4),"INT"),VLOOKUP(G462,_lookup!$A$3:$B$14,2,FALSE)),""))</f>
        <v/>
      </c>
      <c r="K462">
        <f>IF(F462&lt;&gt;"weapon","",IF(G462="miscellaneous","1-4",IF(I462="","",IFERROR(VLOOKUP(I462&amp;"|"&amp;IF(LEFT(H462,2)="2H",2,1)&amp;"|"&amp;IF(G462="slashing",1,0),_lookup!$G$3:$H$18,2,FALSE),""))))</f>
        <v/>
      </c>
      <c r="L462">
        <f>IF(K462="","",IF(OR(G462="channeling",G462="infusing"),"Magical",IF(G462="blocking","Anti-Physical",IF(G462="warding","Anti-Magical","Physical"))))</f>
        <v/>
      </c>
      <c r="O462">
        <f>IF(F462&lt;&gt;"armor","","TBD")</f>
        <v/>
      </c>
      <c r="P462">
        <f>IF(O462="","",IF(OR(G462="channeling",G462="infusing"),"Magical",IF(G462="blocking","Anti-Physical",IF(G462="warding","Anti-Magical","Physical"))))</f>
        <v/>
      </c>
    </row>
    <row r="463">
      <c r="J463">
        <f>IF(G463="","",IFERROR(IF(G463="infusing",IFERROR(LOOKUP(2,1/ISNUMBER(SEARCH(_lookup!$D$3:$D$4,H463)),_lookup!$E$3:$E$4),"INT"),VLOOKUP(G463,_lookup!$A$3:$B$14,2,FALSE)),""))</f>
        <v/>
      </c>
      <c r="K463">
        <f>IF(F463&lt;&gt;"weapon","",IF(G463="miscellaneous","1-4",IF(I463="","",IFERROR(VLOOKUP(I463&amp;"|"&amp;IF(LEFT(H463,2)="2H",2,1)&amp;"|"&amp;IF(G463="slashing",1,0),_lookup!$G$3:$H$18,2,FALSE),""))))</f>
        <v/>
      </c>
      <c r="L463">
        <f>IF(K463="","",IF(OR(G463="channeling",G463="infusing"),"Magical",IF(G463="blocking","Anti-Physical",IF(G463="warding","Anti-Magical","Physical"))))</f>
        <v/>
      </c>
      <c r="O463">
        <f>IF(F463&lt;&gt;"armor","","TBD")</f>
        <v/>
      </c>
      <c r="P463">
        <f>IF(O463="","",IF(OR(G463="channeling",G463="infusing"),"Magical",IF(G463="blocking","Anti-Physical",IF(G463="warding","Anti-Magical","Physical"))))</f>
        <v/>
      </c>
    </row>
    <row r="464">
      <c r="J464">
        <f>IF(G464="","",IFERROR(IF(G464="infusing",IFERROR(LOOKUP(2,1/ISNUMBER(SEARCH(_lookup!$D$3:$D$4,H464)),_lookup!$E$3:$E$4),"INT"),VLOOKUP(G464,_lookup!$A$3:$B$14,2,FALSE)),""))</f>
        <v/>
      </c>
      <c r="K464">
        <f>IF(F464&lt;&gt;"weapon","",IF(G464="miscellaneous","1-4",IF(I464="","",IFERROR(VLOOKUP(I464&amp;"|"&amp;IF(LEFT(H464,2)="2H",2,1)&amp;"|"&amp;IF(G464="slashing",1,0),_lookup!$G$3:$H$18,2,FALSE),""))))</f>
        <v/>
      </c>
      <c r="L464">
        <f>IF(K464="","",IF(OR(G464="channeling",G464="infusing"),"Magical",IF(G464="blocking","Anti-Physical",IF(G464="warding","Anti-Magical","Physical"))))</f>
        <v/>
      </c>
      <c r="O464">
        <f>IF(F464&lt;&gt;"armor","","TBD")</f>
        <v/>
      </c>
      <c r="P464">
        <f>IF(O464="","",IF(OR(G464="channeling",G464="infusing"),"Magical",IF(G464="blocking","Anti-Physical",IF(G464="warding","Anti-Magical","Physical"))))</f>
        <v/>
      </c>
    </row>
    <row r="465">
      <c r="J465">
        <f>IF(G465="","",IFERROR(IF(G465="infusing",IFERROR(LOOKUP(2,1/ISNUMBER(SEARCH(_lookup!$D$3:$D$4,H465)),_lookup!$E$3:$E$4),"INT"),VLOOKUP(G465,_lookup!$A$3:$B$14,2,FALSE)),""))</f>
        <v/>
      </c>
      <c r="K465">
        <f>IF(F465&lt;&gt;"weapon","",IF(G465="miscellaneous","1-4",IF(I465="","",IFERROR(VLOOKUP(I465&amp;"|"&amp;IF(LEFT(H465,2)="2H",2,1)&amp;"|"&amp;IF(G465="slashing",1,0),_lookup!$G$3:$H$18,2,FALSE),""))))</f>
        <v/>
      </c>
      <c r="L465">
        <f>IF(K465="","",IF(OR(G465="channeling",G465="infusing"),"Magical",IF(G465="blocking","Anti-Physical",IF(G465="warding","Anti-Magical","Physical"))))</f>
        <v/>
      </c>
      <c r="O465">
        <f>IF(F465&lt;&gt;"armor","","TBD")</f>
        <v/>
      </c>
      <c r="P465">
        <f>IF(O465="","",IF(OR(G465="channeling",G465="infusing"),"Magical",IF(G465="blocking","Anti-Physical",IF(G465="warding","Anti-Magical","Physical"))))</f>
        <v/>
      </c>
    </row>
    <row r="466">
      <c r="J466">
        <f>IF(G466="","",IFERROR(IF(G466="infusing",IFERROR(LOOKUP(2,1/ISNUMBER(SEARCH(_lookup!$D$3:$D$4,H466)),_lookup!$E$3:$E$4),"INT"),VLOOKUP(G466,_lookup!$A$3:$B$14,2,FALSE)),""))</f>
        <v/>
      </c>
      <c r="K466">
        <f>IF(F466&lt;&gt;"weapon","",IF(G466="miscellaneous","1-4",IF(I466="","",IFERROR(VLOOKUP(I466&amp;"|"&amp;IF(LEFT(H466,2)="2H",2,1)&amp;"|"&amp;IF(G466="slashing",1,0),_lookup!$G$3:$H$18,2,FALSE),""))))</f>
        <v/>
      </c>
      <c r="L466">
        <f>IF(K466="","",IF(OR(G466="channeling",G466="infusing"),"Magical",IF(G466="blocking","Anti-Physical",IF(G466="warding","Anti-Magical","Physical"))))</f>
        <v/>
      </c>
      <c r="O466">
        <f>IF(F466&lt;&gt;"armor","","TBD")</f>
        <v/>
      </c>
      <c r="P466">
        <f>IF(O466="","",IF(OR(G466="channeling",G466="infusing"),"Magical",IF(G466="blocking","Anti-Physical",IF(G466="warding","Anti-Magical","Physical"))))</f>
        <v/>
      </c>
    </row>
    <row r="467">
      <c r="J467">
        <f>IF(G467="","",IFERROR(IF(G467="infusing",IFERROR(LOOKUP(2,1/ISNUMBER(SEARCH(_lookup!$D$3:$D$4,H467)),_lookup!$E$3:$E$4),"INT"),VLOOKUP(G467,_lookup!$A$3:$B$14,2,FALSE)),""))</f>
        <v/>
      </c>
      <c r="K467">
        <f>IF(F467&lt;&gt;"weapon","",IF(G467="miscellaneous","1-4",IF(I467="","",IFERROR(VLOOKUP(I467&amp;"|"&amp;IF(LEFT(H467,2)="2H",2,1)&amp;"|"&amp;IF(G467="slashing",1,0),_lookup!$G$3:$H$18,2,FALSE),""))))</f>
        <v/>
      </c>
      <c r="L467">
        <f>IF(K467="","",IF(OR(G467="channeling",G467="infusing"),"Magical",IF(G467="blocking","Anti-Physical",IF(G467="warding","Anti-Magical","Physical"))))</f>
        <v/>
      </c>
      <c r="O467">
        <f>IF(F467&lt;&gt;"armor","","TBD")</f>
        <v/>
      </c>
      <c r="P467">
        <f>IF(O467="","",IF(OR(G467="channeling",G467="infusing"),"Magical",IF(G467="blocking","Anti-Physical",IF(G467="warding","Anti-Magical","Physical"))))</f>
        <v/>
      </c>
    </row>
    <row r="468">
      <c r="J468">
        <f>IF(G468="","",IFERROR(IF(G468="infusing",IFERROR(LOOKUP(2,1/ISNUMBER(SEARCH(_lookup!$D$3:$D$4,H468)),_lookup!$E$3:$E$4),"INT"),VLOOKUP(G468,_lookup!$A$3:$B$14,2,FALSE)),""))</f>
        <v/>
      </c>
      <c r="K468">
        <f>IF(F468&lt;&gt;"weapon","",IF(G468="miscellaneous","1-4",IF(I468="","",IFERROR(VLOOKUP(I468&amp;"|"&amp;IF(LEFT(H468,2)="2H",2,1)&amp;"|"&amp;IF(G468="slashing",1,0),_lookup!$G$3:$H$18,2,FALSE),""))))</f>
        <v/>
      </c>
      <c r="L468">
        <f>IF(K468="","",IF(OR(G468="channeling",G468="infusing"),"Magical",IF(G468="blocking","Anti-Physical",IF(G468="warding","Anti-Magical","Physical"))))</f>
        <v/>
      </c>
      <c r="O468">
        <f>IF(F468&lt;&gt;"armor","","TBD")</f>
        <v/>
      </c>
      <c r="P468">
        <f>IF(O468="","",IF(OR(G468="channeling",G468="infusing"),"Magical",IF(G468="blocking","Anti-Physical",IF(G468="warding","Anti-Magical","Physical"))))</f>
        <v/>
      </c>
    </row>
    <row r="469">
      <c r="J469">
        <f>IF(G469="","",IFERROR(IF(G469="infusing",IFERROR(LOOKUP(2,1/ISNUMBER(SEARCH(_lookup!$D$3:$D$4,H469)),_lookup!$E$3:$E$4),"INT"),VLOOKUP(G469,_lookup!$A$3:$B$14,2,FALSE)),""))</f>
        <v/>
      </c>
      <c r="K469">
        <f>IF(F469&lt;&gt;"weapon","",IF(G469="miscellaneous","1-4",IF(I469="","",IFERROR(VLOOKUP(I469&amp;"|"&amp;IF(LEFT(H469,2)="2H",2,1)&amp;"|"&amp;IF(G469="slashing",1,0),_lookup!$G$3:$H$18,2,FALSE),""))))</f>
        <v/>
      </c>
      <c r="L469">
        <f>IF(K469="","",IF(OR(G469="channeling",G469="infusing"),"Magical",IF(G469="blocking","Anti-Physical",IF(G469="warding","Anti-Magical","Physical"))))</f>
        <v/>
      </c>
      <c r="O469">
        <f>IF(F469&lt;&gt;"armor","","TBD")</f>
        <v/>
      </c>
      <c r="P469">
        <f>IF(O469="","",IF(OR(G469="channeling",G469="infusing"),"Magical",IF(G469="blocking","Anti-Physical",IF(G469="warding","Anti-Magical","Physical"))))</f>
        <v/>
      </c>
    </row>
    <row r="470">
      <c r="J470">
        <f>IF(G470="","",IFERROR(IF(G470="infusing",IFERROR(LOOKUP(2,1/ISNUMBER(SEARCH(_lookup!$D$3:$D$4,H470)),_lookup!$E$3:$E$4),"INT"),VLOOKUP(G470,_lookup!$A$3:$B$14,2,FALSE)),""))</f>
        <v/>
      </c>
      <c r="K470">
        <f>IF(F470&lt;&gt;"weapon","",IF(G470="miscellaneous","1-4",IF(I470="","",IFERROR(VLOOKUP(I470&amp;"|"&amp;IF(LEFT(H470,2)="2H",2,1)&amp;"|"&amp;IF(G470="slashing",1,0),_lookup!$G$3:$H$18,2,FALSE),""))))</f>
        <v/>
      </c>
      <c r="L470">
        <f>IF(K470="","",IF(OR(G470="channeling",G470="infusing"),"Magical",IF(G470="blocking","Anti-Physical",IF(G470="warding","Anti-Magical","Physical"))))</f>
        <v/>
      </c>
      <c r="O470">
        <f>IF(F470&lt;&gt;"armor","","TBD")</f>
        <v/>
      </c>
      <c r="P470">
        <f>IF(O470="","",IF(OR(G470="channeling",G470="infusing"),"Magical",IF(G470="blocking","Anti-Physical",IF(G470="warding","Anti-Magical","Physical"))))</f>
        <v/>
      </c>
    </row>
    <row r="471">
      <c r="J471">
        <f>IF(G471="","",IFERROR(IF(G471="infusing",IFERROR(LOOKUP(2,1/ISNUMBER(SEARCH(_lookup!$D$3:$D$4,H471)),_lookup!$E$3:$E$4),"INT"),VLOOKUP(G471,_lookup!$A$3:$B$14,2,FALSE)),""))</f>
        <v/>
      </c>
      <c r="K471">
        <f>IF(F471&lt;&gt;"weapon","",IF(G471="miscellaneous","1-4",IF(I471="","",IFERROR(VLOOKUP(I471&amp;"|"&amp;IF(LEFT(H471,2)="2H",2,1)&amp;"|"&amp;IF(G471="slashing",1,0),_lookup!$G$3:$H$18,2,FALSE),""))))</f>
        <v/>
      </c>
      <c r="L471">
        <f>IF(K471="","",IF(OR(G471="channeling",G471="infusing"),"Magical",IF(G471="blocking","Anti-Physical",IF(G471="warding","Anti-Magical","Physical"))))</f>
        <v/>
      </c>
      <c r="O471">
        <f>IF(F471&lt;&gt;"armor","","TBD")</f>
        <v/>
      </c>
      <c r="P471">
        <f>IF(O471="","",IF(OR(G471="channeling",G471="infusing"),"Magical",IF(G471="blocking","Anti-Physical",IF(G471="warding","Anti-Magical","Physical"))))</f>
        <v/>
      </c>
    </row>
    <row r="472">
      <c r="J472">
        <f>IF(G472="","",IFERROR(IF(G472="infusing",IFERROR(LOOKUP(2,1/ISNUMBER(SEARCH(_lookup!$D$3:$D$4,H472)),_lookup!$E$3:$E$4),"INT"),VLOOKUP(G472,_lookup!$A$3:$B$14,2,FALSE)),""))</f>
        <v/>
      </c>
      <c r="K472">
        <f>IF(F472&lt;&gt;"weapon","",IF(G472="miscellaneous","1-4",IF(I472="","",IFERROR(VLOOKUP(I472&amp;"|"&amp;IF(LEFT(H472,2)="2H",2,1)&amp;"|"&amp;IF(G472="slashing",1,0),_lookup!$G$3:$H$18,2,FALSE),""))))</f>
        <v/>
      </c>
      <c r="L472">
        <f>IF(K472="","",IF(OR(G472="channeling",G472="infusing"),"Magical",IF(G472="blocking","Anti-Physical",IF(G472="warding","Anti-Magical","Physical"))))</f>
        <v/>
      </c>
      <c r="O472">
        <f>IF(F472&lt;&gt;"armor","","TBD")</f>
        <v/>
      </c>
      <c r="P472">
        <f>IF(O472="","",IF(OR(G472="channeling",G472="infusing"),"Magical",IF(G472="blocking","Anti-Physical",IF(G472="warding","Anti-Magical","Physical"))))</f>
        <v/>
      </c>
    </row>
    <row r="473">
      <c r="J473">
        <f>IF(G473="","",IFERROR(IF(G473="infusing",IFERROR(LOOKUP(2,1/ISNUMBER(SEARCH(_lookup!$D$3:$D$4,H473)),_lookup!$E$3:$E$4),"INT"),VLOOKUP(G473,_lookup!$A$3:$B$14,2,FALSE)),""))</f>
        <v/>
      </c>
      <c r="K473">
        <f>IF(F473&lt;&gt;"weapon","",IF(G473="miscellaneous","1-4",IF(I473="","",IFERROR(VLOOKUP(I473&amp;"|"&amp;IF(LEFT(H473,2)="2H",2,1)&amp;"|"&amp;IF(G473="slashing",1,0),_lookup!$G$3:$H$18,2,FALSE),""))))</f>
        <v/>
      </c>
      <c r="L473">
        <f>IF(K473="","",IF(OR(G473="channeling",G473="infusing"),"Magical",IF(G473="blocking","Anti-Physical",IF(G473="warding","Anti-Magical","Physical"))))</f>
        <v/>
      </c>
      <c r="O473">
        <f>IF(F473&lt;&gt;"armor","","TBD")</f>
        <v/>
      </c>
      <c r="P473">
        <f>IF(O473="","",IF(OR(G473="channeling",G473="infusing"),"Magical",IF(G473="blocking","Anti-Physical",IF(G473="warding","Anti-Magical","Physical"))))</f>
        <v/>
      </c>
    </row>
    <row r="474">
      <c r="J474">
        <f>IF(G474="","",IFERROR(IF(G474="infusing",IFERROR(LOOKUP(2,1/ISNUMBER(SEARCH(_lookup!$D$3:$D$4,H474)),_lookup!$E$3:$E$4),"INT"),VLOOKUP(G474,_lookup!$A$3:$B$14,2,FALSE)),""))</f>
        <v/>
      </c>
      <c r="K474">
        <f>IF(F474&lt;&gt;"weapon","",IF(G474="miscellaneous","1-4",IF(I474="","",IFERROR(VLOOKUP(I474&amp;"|"&amp;IF(LEFT(H474,2)="2H",2,1)&amp;"|"&amp;IF(G474="slashing",1,0),_lookup!$G$3:$H$18,2,FALSE),""))))</f>
        <v/>
      </c>
      <c r="L474">
        <f>IF(K474="","",IF(OR(G474="channeling",G474="infusing"),"Magical",IF(G474="blocking","Anti-Physical",IF(G474="warding","Anti-Magical","Physical"))))</f>
        <v/>
      </c>
      <c r="O474">
        <f>IF(F474&lt;&gt;"armor","","TBD")</f>
        <v/>
      </c>
      <c r="P474">
        <f>IF(O474="","",IF(OR(G474="channeling",G474="infusing"),"Magical",IF(G474="blocking","Anti-Physical",IF(G474="warding","Anti-Magical","Physical"))))</f>
        <v/>
      </c>
    </row>
    <row r="475">
      <c r="J475">
        <f>IF(G475="","",IFERROR(IF(G475="infusing",IFERROR(LOOKUP(2,1/ISNUMBER(SEARCH(_lookup!$D$3:$D$4,H475)),_lookup!$E$3:$E$4),"INT"),VLOOKUP(G475,_lookup!$A$3:$B$14,2,FALSE)),""))</f>
        <v/>
      </c>
      <c r="K475">
        <f>IF(F475&lt;&gt;"weapon","",IF(G475="miscellaneous","1-4",IF(I475="","",IFERROR(VLOOKUP(I475&amp;"|"&amp;IF(LEFT(H475,2)="2H",2,1)&amp;"|"&amp;IF(G475="slashing",1,0),_lookup!$G$3:$H$18,2,FALSE),""))))</f>
        <v/>
      </c>
      <c r="L475">
        <f>IF(K475="","",IF(OR(G475="channeling",G475="infusing"),"Magical",IF(G475="blocking","Anti-Physical",IF(G475="warding","Anti-Magical","Physical"))))</f>
        <v/>
      </c>
      <c r="O475">
        <f>IF(F475&lt;&gt;"armor","","TBD")</f>
        <v/>
      </c>
      <c r="P475">
        <f>IF(O475="","",IF(OR(G475="channeling",G475="infusing"),"Magical",IF(G475="blocking","Anti-Physical",IF(G475="warding","Anti-Magical","Physical"))))</f>
        <v/>
      </c>
    </row>
    <row r="476">
      <c r="J476">
        <f>IF(G476="","",IFERROR(IF(G476="infusing",IFERROR(LOOKUP(2,1/ISNUMBER(SEARCH(_lookup!$D$3:$D$4,H476)),_lookup!$E$3:$E$4),"INT"),VLOOKUP(G476,_lookup!$A$3:$B$14,2,FALSE)),""))</f>
        <v/>
      </c>
      <c r="K476">
        <f>IF(F476&lt;&gt;"weapon","",IF(G476="miscellaneous","1-4",IF(I476="","",IFERROR(VLOOKUP(I476&amp;"|"&amp;IF(LEFT(H476,2)="2H",2,1)&amp;"|"&amp;IF(G476="slashing",1,0),_lookup!$G$3:$H$18,2,FALSE),""))))</f>
        <v/>
      </c>
      <c r="L476">
        <f>IF(K476="","",IF(OR(G476="channeling",G476="infusing"),"Magical",IF(G476="blocking","Anti-Physical",IF(G476="warding","Anti-Magical","Physical"))))</f>
        <v/>
      </c>
      <c r="O476">
        <f>IF(F476&lt;&gt;"armor","","TBD")</f>
        <v/>
      </c>
      <c r="P476">
        <f>IF(O476="","",IF(OR(G476="channeling",G476="infusing"),"Magical",IF(G476="blocking","Anti-Physical",IF(G476="warding","Anti-Magical","Physical"))))</f>
        <v/>
      </c>
    </row>
    <row r="477">
      <c r="J477">
        <f>IF(G477="","",IFERROR(IF(G477="infusing",IFERROR(LOOKUP(2,1/ISNUMBER(SEARCH(_lookup!$D$3:$D$4,H477)),_lookup!$E$3:$E$4),"INT"),VLOOKUP(G477,_lookup!$A$3:$B$14,2,FALSE)),""))</f>
        <v/>
      </c>
      <c r="K477">
        <f>IF(F477&lt;&gt;"weapon","",IF(G477="miscellaneous","1-4",IF(I477="","",IFERROR(VLOOKUP(I477&amp;"|"&amp;IF(LEFT(H477,2)="2H",2,1)&amp;"|"&amp;IF(G477="slashing",1,0),_lookup!$G$3:$H$18,2,FALSE),""))))</f>
        <v/>
      </c>
      <c r="L477">
        <f>IF(K477="","",IF(OR(G477="channeling",G477="infusing"),"Magical",IF(G477="blocking","Anti-Physical",IF(G477="warding","Anti-Magical","Physical"))))</f>
        <v/>
      </c>
      <c r="O477">
        <f>IF(F477&lt;&gt;"armor","","TBD")</f>
        <v/>
      </c>
      <c r="P477">
        <f>IF(O477="","",IF(OR(G477="channeling",G477="infusing"),"Magical",IF(G477="blocking","Anti-Physical",IF(G477="warding","Anti-Magical","Physical"))))</f>
        <v/>
      </c>
    </row>
    <row r="478">
      <c r="J478">
        <f>IF(G478="","",IFERROR(IF(G478="infusing",IFERROR(LOOKUP(2,1/ISNUMBER(SEARCH(_lookup!$D$3:$D$4,H478)),_lookup!$E$3:$E$4),"INT"),VLOOKUP(G478,_lookup!$A$3:$B$14,2,FALSE)),""))</f>
        <v/>
      </c>
      <c r="K478">
        <f>IF(F478&lt;&gt;"weapon","",IF(G478="miscellaneous","1-4",IF(I478="","",IFERROR(VLOOKUP(I478&amp;"|"&amp;IF(LEFT(H478,2)="2H",2,1)&amp;"|"&amp;IF(G478="slashing",1,0),_lookup!$G$3:$H$18,2,FALSE),""))))</f>
        <v/>
      </c>
      <c r="L478">
        <f>IF(K478="","",IF(OR(G478="channeling",G478="infusing"),"Magical",IF(G478="blocking","Anti-Physical",IF(G478="warding","Anti-Magical","Physical"))))</f>
        <v/>
      </c>
      <c r="O478">
        <f>IF(F478&lt;&gt;"armor","","TBD")</f>
        <v/>
      </c>
      <c r="P478">
        <f>IF(O478="","",IF(OR(G478="channeling",G478="infusing"),"Magical",IF(G478="blocking","Anti-Physical",IF(G478="warding","Anti-Magical","Physical"))))</f>
        <v/>
      </c>
    </row>
    <row r="479">
      <c r="J479">
        <f>IF(G479="","",IFERROR(IF(G479="infusing",IFERROR(LOOKUP(2,1/ISNUMBER(SEARCH(_lookup!$D$3:$D$4,H479)),_lookup!$E$3:$E$4),"INT"),VLOOKUP(G479,_lookup!$A$3:$B$14,2,FALSE)),""))</f>
        <v/>
      </c>
      <c r="K479">
        <f>IF(F479&lt;&gt;"weapon","",IF(G479="miscellaneous","1-4",IF(I479="","",IFERROR(VLOOKUP(I479&amp;"|"&amp;IF(LEFT(H479,2)="2H",2,1)&amp;"|"&amp;IF(G479="slashing",1,0),_lookup!$G$3:$H$18,2,FALSE),""))))</f>
        <v/>
      </c>
      <c r="L479">
        <f>IF(K479="","",IF(OR(G479="channeling",G479="infusing"),"Magical",IF(G479="blocking","Anti-Physical",IF(G479="warding","Anti-Magical","Physical"))))</f>
        <v/>
      </c>
      <c r="O479">
        <f>IF(F479&lt;&gt;"armor","","TBD")</f>
        <v/>
      </c>
      <c r="P479">
        <f>IF(O479="","",IF(OR(G479="channeling",G479="infusing"),"Magical",IF(G479="blocking","Anti-Physical",IF(G479="warding","Anti-Magical","Physical"))))</f>
        <v/>
      </c>
    </row>
    <row r="480">
      <c r="J480">
        <f>IF(G480="","",IFERROR(IF(G480="infusing",IFERROR(LOOKUP(2,1/ISNUMBER(SEARCH(_lookup!$D$3:$D$4,H480)),_lookup!$E$3:$E$4),"INT"),VLOOKUP(G480,_lookup!$A$3:$B$14,2,FALSE)),""))</f>
        <v/>
      </c>
      <c r="K480">
        <f>IF(F480&lt;&gt;"weapon","",IF(G480="miscellaneous","1-4",IF(I480="","",IFERROR(VLOOKUP(I480&amp;"|"&amp;IF(LEFT(H480,2)="2H",2,1)&amp;"|"&amp;IF(G480="slashing",1,0),_lookup!$G$3:$H$18,2,FALSE),""))))</f>
        <v/>
      </c>
      <c r="L480">
        <f>IF(K480="","",IF(OR(G480="channeling",G480="infusing"),"Magical",IF(G480="blocking","Anti-Physical",IF(G480="warding","Anti-Magical","Physical"))))</f>
        <v/>
      </c>
      <c r="O480">
        <f>IF(F480&lt;&gt;"armor","","TBD")</f>
        <v/>
      </c>
      <c r="P480">
        <f>IF(O480="","",IF(OR(G480="channeling",G480="infusing"),"Magical",IF(G480="blocking","Anti-Physical",IF(G480="warding","Anti-Magical","Physical"))))</f>
        <v/>
      </c>
    </row>
    <row r="481">
      <c r="J481">
        <f>IF(G481="","",IFERROR(IF(G481="infusing",IFERROR(LOOKUP(2,1/ISNUMBER(SEARCH(_lookup!$D$3:$D$4,H481)),_lookup!$E$3:$E$4),"INT"),VLOOKUP(G481,_lookup!$A$3:$B$14,2,FALSE)),""))</f>
        <v/>
      </c>
      <c r="K481">
        <f>IF(F481&lt;&gt;"weapon","",IF(G481="miscellaneous","1-4",IF(I481="","",IFERROR(VLOOKUP(I481&amp;"|"&amp;IF(LEFT(H481,2)="2H",2,1)&amp;"|"&amp;IF(G481="slashing",1,0),_lookup!$G$3:$H$18,2,FALSE),""))))</f>
        <v/>
      </c>
      <c r="L481">
        <f>IF(K481="","",IF(OR(G481="channeling",G481="infusing"),"Magical",IF(G481="blocking","Anti-Physical",IF(G481="warding","Anti-Magical","Physical"))))</f>
        <v/>
      </c>
      <c r="O481">
        <f>IF(F481&lt;&gt;"armor","","TBD")</f>
        <v/>
      </c>
      <c r="P481">
        <f>IF(O481="","",IF(OR(G481="channeling",G481="infusing"),"Magical",IF(G481="blocking","Anti-Physical",IF(G481="warding","Anti-Magical","Physical"))))</f>
        <v/>
      </c>
    </row>
    <row r="482">
      <c r="J482">
        <f>IF(G482="","",IFERROR(IF(G482="infusing",IFERROR(LOOKUP(2,1/ISNUMBER(SEARCH(_lookup!$D$3:$D$4,H482)),_lookup!$E$3:$E$4),"INT"),VLOOKUP(G482,_lookup!$A$3:$B$14,2,FALSE)),""))</f>
        <v/>
      </c>
      <c r="K482">
        <f>IF(F482&lt;&gt;"weapon","",IF(G482="miscellaneous","1-4",IF(I482="","",IFERROR(VLOOKUP(I482&amp;"|"&amp;IF(LEFT(H482,2)="2H",2,1)&amp;"|"&amp;IF(G482="slashing",1,0),_lookup!$G$3:$H$18,2,FALSE),""))))</f>
        <v/>
      </c>
      <c r="L482">
        <f>IF(K482="","",IF(OR(G482="channeling",G482="infusing"),"Magical",IF(G482="blocking","Anti-Physical",IF(G482="warding","Anti-Magical","Physical"))))</f>
        <v/>
      </c>
      <c r="O482">
        <f>IF(F482&lt;&gt;"armor","","TBD")</f>
        <v/>
      </c>
      <c r="P482">
        <f>IF(O482="","",IF(OR(G482="channeling",G482="infusing"),"Magical",IF(G482="blocking","Anti-Physical",IF(G482="warding","Anti-Magical","Physical"))))</f>
        <v/>
      </c>
    </row>
    <row r="483">
      <c r="J483">
        <f>IF(G483="","",IFERROR(IF(G483="infusing",IFERROR(LOOKUP(2,1/ISNUMBER(SEARCH(_lookup!$D$3:$D$4,H483)),_lookup!$E$3:$E$4),"INT"),VLOOKUP(G483,_lookup!$A$3:$B$14,2,FALSE)),""))</f>
        <v/>
      </c>
      <c r="K483">
        <f>IF(F483&lt;&gt;"weapon","",IF(G483="miscellaneous","1-4",IF(I483="","",IFERROR(VLOOKUP(I483&amp;"|"&amp;IF(LEFT(H483,2)="2H",2,1)&amp;"|"&amp;IF(G483="slashing",1,0),_lookup!$G$3:$H$18,2,FALSE),""))))</f>
        <v/>
      </c>
      <c r="L483">
        <f>IF(K483="","",IF(OR(G483="channeling",G483="infusing"),"Magical",IF(G483="blocking","Anti-Physical",IF(G483="warding","Anti-Magical","Physical"))))</f>
        <v/>
      </c>
      <c r="O483">
        <f>IF(F483&lt;&gt;"armor","","TBD")</f>
        <v/>
      </c>
      <c r="P483">
        <f>IF(O483="","",IF(OR(G483="channeling",G483="infusing"),"Magical",IF(G483="blocking","Anti-Physical",IF(G483="warding","Anti-Magical","Physical"))))</f>
        <v/>
      </c>
    </row>
    <row r="484">
      <c r="J484">
        <f>IF(G484="","",IFERROR(IF(G484="infusing",IFERROR(LOOKUP(2,1/ISNUMBER(SEARCH(_lookup!$D$3:$D$4,H484)),_lookup!$E$3:$E$4),"INT"),VLOOKUP(G484,_lookup!$A$3:$B$14,2,FALSE)),""))</f>
        <v/>
      </c>
      <c r="K484">
        <f>IF(F484&lt;&gt;"weapon","",IF(G484="miscellaneous","1-4",IF(I484="","",IFERROR(VLOOKUP(I484&amp;"|"&amp;IF(LEFT(H484,2)="2H",2,1)&amp;"|"&amp;IF(G484="slashing",1,0),_lookup!$G$3:$H$18,2,FALSE),""))))</f>
        <v/>
      </c>
      <c r="L484">
        <f>IF(K484="","",IF(OR(G484="channeling",G484="infusing"),"Magical",IF(G484="blocking","Anti-Physical",IF(G484="warding","Anti-Magical","Physical"))))</f>
        <v/>
      </c>
      <c r="O484">
        <f>IF(F484&lt;&gt;"armor","","TBD")</f>
        <v/>
      </c>
      <c r="P484">
        <f>IF(O484="","",IF(OR(G484="channeling",G484="infusing"),"Magical",IF(G484="blocking","Anti-Physical",IF(G484="warding","Anti-Magical","Physical"))))</f>
        <v/>
      </c>
    </row>
    <row r="485">
      <c r="J485">
        <f>IF(G485="","",IFERROR(IF(G485="infusing",IFERROR(LOOKUP(2,1/ISNUMBER(SEARCH(_lookup!$D$3:$D$4,H485)),_lookup!$E$3:$E$4),"INT"),VLOOKUP(G485,_lookup!$A$3:$B$14,2,FALSE)),""))</f>
        <v/>
      </c>
      <c r="K485">
        <f>IF(F485&lt;&gt;"weapon","",IF(G485="miscellaneous","1-4",IF(I485="","",IFERROR(VLOOKUP(I485&amp;"|"&amp;IF(LEFT(H485,2)="2H",2,1)&amp;"|"&amp;IF(G485="slashing",1,0),_lookup!$G$3:$H$18,2,FALSE),""))))</f>
        <v/>
      </c>
      <c r="L485">
        <f>IF(K485="","",IF(OR(G485="channeling",G485="infusing"),"Magical",IF(G485="blocking","Anti-Physical",IF(G485="warding","Anti-Magical","Physical"))))</f>
        <v/>
      </c>
      <c r="O485">
        <f>IF(F485&lt;&gt;"armor","","TBD")</f>
        <v/>
      </c>
      <c r="P485">
        <f>IF(O485="","",IF(OR(G485="channeling",G485="infusing"),"Magical",IF(G485="blocking","Anti-Physical",IF(G485="warding","Anti-Magical","Physical"))))</f>
        <v/>
      </c>
    </row>
    <row r="486">
      <c r="J486">
        <f>IF(G486="","",IFERROR(IF(G486="infusing",IFERROR(LOOKUP(2,1/ISNUMBER(SEARCH(_lookup!$D$3:$D$4,H486)),_lookup!$E$3:$E$4),"INT"),VLOOKUP(G486,_lookup!$A$3:$B$14,2,FALSE)),""))</f>
        <v/>
      </c>
      <c r="K486">
        <f>IF(F486&lt;&gt;"weapon","",IF(G486="miscellaneous","1-4",IF(I486="","",IFERROR(VLOOKUP(I486&amp;"|"&amp;IF(LEFT(H486,2)="2H",2,1)&amp;"|"&amp;IF(G486="slashing",1,0),_lookup!$G$3:$H$18,2,FALSE),""))))</f>
        <v/>
      </c>
      <c r="L486">
        <f>IF(K486="","",IF(OR(G486="channeling",G486="infusing"),"Magical",IF(G486="blocking","Anti-Physical",IF(G486="warding","Anti-Magical","Physical"))))</f>
        <v/>
      </c>
      <c r="O486">
        <f>IF(F486&lt;&gt;"armor","","TBD")</f>
        <v/>
      </c>
      <c r="P486">
        <f>IF(O486="","",IF(OR(G486="channeling",G486="infusing"),"Magical",IF(G486="blocking","Anti-Physical",IF(G486="warding","Anti-Magical","Physical"))))</f>
        <v/>
      </c>
    </row>
    <row r="487">
      <c r="J487">
        <f>IF(G487="","",IFERROR(IF(G487="infusing",IFERROR(LOOKUP(2,1/ISNUMBER(SEARCH(_lookup!$D$3:$D$4,H487)),_lookup!$E$3:$E$4),"INT"),VLOOKUP(G487,_lookup!$A$3:$B$14,2,FALSE)),""))</f>
        <v/>
      </c>
      <c r="K487">
        <f>IF(F487&lt;&gt;"weapon","",IF(G487="miscellaneous","1-4",IF(I487="","",IFERROR(VLOOKUP(I487&amp;"|"&amp;IF(LEFT(H487,2)="2H",2,1)&amp;"|"&amp;IF(G487="slashing",1,0),_lookup!$G$3:$H$18,2,FALSE),""))))</f>
        <v/>
      </c>
      <c r="L487">
        <f>IF(K487="","",IF(OR(G487="channeling",G487="infusing"),"Magical",IF(G487="blocking","Anti-Physical",IF(G487="warding","Anti-Magical","Physical"))))</f>
        <v/>
      </c>
      <c r="O487">
        <f>IF(F487&lt;&gt;"armor","","TBD")</f>
        <v/>
      </c>
      <c r="P487">
        <f>IF(O487="","",IF(OR(G487="channeling",G487="infusing"),"Magical",IF(G487="blocking","Anti-Physical",IF(G487="warding","Anti-Magical","Physical"))))</f>
        <v/>
      </c>
    </row>
    <row r="488">
      <c r="J488">
        <f>IF(G488="","",IFERROR(IF(G488="infusing",IFERROR(LOOKUP(2,1/ISNUMBER(SEARCH(_lookup!$D$3:$D$4,H488)),_lookup!$E$3:$E$4),"INT"),VLOOKUP(G488,_lookup!$A$3:$B$14,2,FALSE)),""))</f>
        <v/>
      </c>
      <c r="K488">
        <f>IF(F488&lt;&gt;"weapon","",IF(G488="miscellaneous","1-4",IF(I488="","",IFERROR(VLOOKUP(I488&amp;"|"&amp;IF(LEFT(H488,2)="2H",2,1)&amp;"|"&amp;IF(G488="slashing",1,0),_lookup!$G$3:$H$18,2,FALSE),""))))</f>
        <v/>
      </c>
      <c r="L488">
        <f>IF(K488="","",IF(OR(G488="channeling",G488="infusing"),"Magical",IF(G488="blocking","Anti-Physical",IF(G488="warding","Anti-Magical","Physical"))))</f>
        <v/>
      </c>
      <c r="O488">
        <f>IF(F488&lt;&gt;"armor","","TBD")</f>
        <v/>
      </c>
      <c r="P488">
        <f>IF(O488="","",IF(OR(G488="channeling",G488="infusing"),"Magical",IF(G488="blocking","Anti-Physical",IF(G488="warding","Anti-Magical","Physical"))))</f>
        <v/>
      </c>
    </row>
    <row r="489">
      <c r="J489">
        <f>IF(G489="","",IFERROR(IF(G489="infusing",IFERROR(LOOKUP(2,1/ISNUMBER(SEARCH(_lookup!$D$3:$D$4,H489)),_lookup!$E$3:$E$4),"INT"),VLOOKUP(G489,_lookup!$A$3:$B$14,2,FALSE)),""))</f>
        <v/>
      </c>
      <c r="K489">
        <f>IF(F489&lt;&gt;"weapon","",IF(G489="miscellaneous","1-4",IF(I489="","",IFERROR(VLOOKUP(I489&amp;"|"&amp;IF(LEFT(H489,2)="2H",2,1)&amp;"|"&amp;IF(G489="slashing",1,0),_lookup!$G$3:$H$18,2,FALSE),""))))</f>
        <v/>
      </c>
      <c r="L489">
        <f>IF(K489="","",IF(OR(G489="channeling",G489="infusing"),"Magical",IF(G489="blocking","Anti-Physical",IF(G489="warding","Anti-Magical","Physical"))))</f>
        <v/>
      </c>
      <c r="O489">
        <f>IF(F489&lt;&gt;"armor","","TBD")</f>
        <v/>
      </c>
      <c r="P489">
        <f>IF(O489="","",IF(OR(G489="channeling",G489="infusing"),"Magical",IF(G489="blocking","Anti-Physical",IF(G489="warding","Anti-Magical","Physical"))))</f>
        <v/>
      </c>
    </row>
    <row r="490">
      <c r="J490">
        <f>IF(G490="","",IFERROR(IF(G490="infusing",IFERROR(LOOKUP(2,1/ISNUMBER(SEARCH(_lookup!$D$3:$D$4,H490)),_lookup!$E$3:$E$4),"INT"),VLOOKUP(G490,_lookup!$A$3:$B$14,2,FALSE)),""))</f>
        <v/>
      </c>
      <c r="K490">
        <f>IF(F490&lt;&gt;"weapon","",IF(G490="miscellaneous","1-4",IF(I490="","",IFERROR(VLOOKUP(I490&amp;"|"&amp;IF(LEFT(H490,2)="2H",2,1)&amp;"|"&amp;IF(G490="slashing",1,0),_lookup!$G$3:$H$18,2,FALSE),""))))</f>
        <v/>
      </c>
      <c r="L490">
        <f>IF(K490="","",IF(OR(G490="channeling",G490="infusing"),"Magical",IF(G490="blocking","Anti-Physical",IF(G490="warding","Anti-Magical","Physical"))))</f>
        <v/>
      </c>
      <c r="O490">
        <f>IF(F490&lt;&gt;"armor","","TBD")</f>
        <v/>
      </c>
      <c r="P490">
        <f>IF(O490="","",IF(OR(G490="channeling",G490="infusing"),"Magical",IF(G490="blocking","Anti-Physical",IF(G490="warding","Anti-Magical","Physical"))))</f>
        <v/>
      </c>
    </row>
    <row r="491">
      <c r="J491">
        <f>IF(G491="","",IFERROR(IF(G491="infusing",IFERROR(LOOKUP(2,1/ISNUMBER(SEARCH(_lookup!$D$3:$D$4,H491)),_lookup!$E$3:$E$4),"INT"),VLOOKUP(G491,_lookup!$A$3:$B$14,2,FALSE)),""))</f>
        <v/>
      </c>
      <c r="K491">
        <f>IF(F491&lt;&gt;"weapon","",IF(G491="miscellaneous","1-4",IF(I491="","",IFERROR(VLOOKUP(I491&amp;"|"&amp;IF(LEFT(H491,2)="2H",2,1)&amp;"|"&amp;IF(G491="slashing",1,0),_lookup!$G$3:$H$18,2,FALSE),""))))</f>
        <v/>
      </c>
      <c r="L491">
        <f>IF(K491="","",IF(OR(G491="channeling",G491="infusing"),"Magical",IF(G491="blocking","Anti-Physical",IF(G491="warding","Anti-Magical","Physical"))))</f>
        <v/>
      </c>
      <c r="O491">
        <f>IF(F491&lt;&gt;"armor","","TBD")</f>
        <v/>
      </c>
      <c r="P491">
        <f>IF(O491="","",IF(OR(G491="channeling",G491="infusing"),"Magical",IF(G491="blocking","Anti-Physical",IF(G491="warding","Anti-Magical","Physical"))))</f>
        <v/>
      </c>
    </row>
    <row r="492">
      <c r="J492">
        <f>IF(G492="","",IFERROR(IF(G492="infusing",IFERROR(LOOKUP(2,1/ISNUMBER(SEARCH(_lookup!$D$3:$D$4,H492)),_lookup!$E$3:$E$4),"INT"),VLOOKUP(G492,_lookup!$A$3:$B$14,2,FALSE)),""))</f>
        <v/>
      </c>
      <c r="K492">
        <f>IF(F492&lt;&gt;"weapon","",IF(G492="miscellaneous","1-4",IF(I492="","",IFERROR(VLOOKUP(I492&amp;"|"&amp;IF(LEFT(H492,2)="2H",2,1)&amp;"|"&amp;IF(G492="slashing",1,0),_lookup!$G$3:$H$18,2,FALSE),""))))</f>
        <v/>
      </c>
      <c r="L492">
        <f>IF(K492="","",IF(OR(G492="channeling",G492="infusing"),"Magical",IF(G492="blocking","Anti-Physical",IF(G492="warding","Anti-Magical","Physical"))))</f>
        <v/>
      </c>
      <c r="O492">
        <f>IF(F492&lt;&gt;"armor","","TBD")</f>
        <v/>
      </c>
      <c r="P492">
        <f>IF(O492="","",IF(OR(G492="channeling",G492="infusing"),"Magical",IF(G492="blocking","Anti-Physical",IF(G492="warding","Anti-Magical","Physical"))))</f>
        <v/>
      </c>
    </row>
    <row r="493">
      <c r="J493">
        <f>IF(G493="","",IFERROR(IF(G493="infusing",IFERROR(LOOKUP(2,1/ISNUMBER(SEARCH(_lookup!$D$3:$D$4,H493)),_lookup!$E$3:$E$4),"INT"),VLOOKUP(G493,_lookup!$A$3:$B$14,2,FALSE)),""))</f>
        <v/>
      </c>
      <c r="K493">
        <f>IF(F493&lt;&gt;"weapon","",IF(G493="miscellaneous","1-4",IF(I493="","",IFERROR(VLOOKUP(I493&amp;"|"&amp;IF(LEFT(H493,2)="2H",2,1)&amp;"|"&amp;IF(G493="slashing",1,0),_lookup!$G$3:$H$18,2,FALSE),""))))</f>
        <v/>
      </c>
      <c r="L493">
        <f>IF(K493="","",IF(OR(G493="channeling",G493="infusing"),"Magical",IF(G493="blocking","Anti-Physical",IF(G493="warding","Anti-Magical","Physical"))))</f>
        <v/>
      </c>
      <c r="O493">
        <f>IF(F493&lt;&gt;"armor","","TBD")</f>
        <v/>
      </c>
      <c r="P493">
        <f>IF(O493="","",IF(OR(G493="channeling",G493="infusing"),"Magical",IF(G493="blocking","Anti-Physical",IF(G493="warding","Anti-Magical","Physical"))))</f>
        <v/>
      </c>
    </row>
    <row r="494">
      <c r="J494">
        <f>IF(G494="","",IFERROR(IF(G494="infusing",IFERROR(LOOKUP(2,1/ISNUMBER(SEARCH(_lookup!$D$3:$D$4,H494)),_lookup!$E$3:$E$4),"INT"),VLOOKUP(G494,_lookup!$A$3:$B$14,2,FALSE)),""))</f>
        <v/>
      </c>
      <c r="K494">
        <f>IF(F494&lt;&gt;"weapon","",IF(G494="miscellaneous","1-4",IF(I494="","",IFERROR(VLOOKUP(I494&amp;"|"&amp;IF(LEFT(H494,2)="2H",2,1)&amp;"|"&amp;IF(G494="slashing",1,0),_lookup!$G$3:$H$18,2,FALSE),""))))</f>
        <v/>
      </c>
      <c r="L494">
        <f>IF(K494="","",IF(OR(G494="channeling",G494="infusing"),"Magical",IF(G494="blocking","Anti-Physical",IF(G494="warding","Anti-Magical","Physical"))))</f>
        <v/>
      </c>
      <c r="O494">
        <f>IF(F494&lt;&gt;"armor","","TBD")</f>
        <v/>
      </c>
      <c r="P494">
        <f>IF(O494="","",IF(OR(G494="channeling",G494="infusing"),"Magical",IF(G494="blocking","Anti-Physical",IF(G494="warding","Anti-Magical","Physical"))))</f>
        <v/>
      </c>
    </row>
    <row r="495">
      <c r="J495">
        <f>IF(G495="","",IFERROR(IF(G495="infusing",IFERROR(LOOKUP(2,1/ISNUMBER(SEARCH(_lookup!$D$3:$D$4,H495)),_lookup!$E$3:$E$4),"INT"),VLOOKUP(G495,_lookup!$A$3:$B$14,2,FALSE)),""))</f>
        <v/>
      </c>
      <c r="K495">
        <f>IF(F495&lt;&gt;"weapon","",IF(G495="miscellaneous","1-4",IF(I495="","",IFERROR(VLOOKUP(I495&amp;"|"&amp;IF(LEFT(H495,2)="2H",2,1)&amp;"|"&amp;IF(G495="slashing",1,0),_lookup!$G$3:$H$18,2,FALSE),""))))</f>
        <v/>
      </c>
      <c r="L495">
        <f>IF(K495="","",IF(OR(G495="channeling",G495="infusing"),"Magical",IF(G495="blocking","Anti-Physical",IF(G495="warding","Anti-Magical","Physical"))))</f>
        <v/>
      </c>
      <c r="O495">
        <f>IF(F495&lt;&gt;"armor","","TBD")</f>
        <v/>
      </c>
      <c r="P495">
        <f>IF(O495="","",IF(OR(G495="channeling",G495="infusing"),"Magical",IF(G495="blocking","Anti-Physical",IF(G495="warding","Anti-Magical","Physical"))))</f>
        <v/>
      </c>
    </row>
    <row r="496">
      <c r="J496">
        <f>IF(G496="","",IFERROR(IF(G496="infusing",IFERROR(LOOKUP(2,1/ISNUMBER(SEARCH(_lookup!$D$3:$D$4,H496)),_lookup!$E$3:$E$4),"INT"),VLOOKUP(G496,_lookup!$A$3:$B$14,2,FALSE)),""))</f>
        <v/>
      </c>
      <c r="K496">
        <f>IF(F496&lt;&gt;"weapon","",IF(G496="miscellaneous","1-4",IF(I496="","",IFERROR(VLOOKUP(I496&amp;"|"&amp;IF(LEFT(H496,2)="2H",2,1)&amp;"|"&amp;IF(G496="slashing",1,0),_lookup!$G$3:$H$18,2,FALSE),""))))</f>
        <v/>
      </c>
      <c r="L496">
        <f>IF(K496="","",IF(OR(G496="channeling",G496="infusing"),"Magical",IF(G496="blocking","Anti-Physical",IF(G496="warding","Anti-Magical","Physical"))))</f>
        <v/>
      </c>
      <c r="O496">
        <f>IF(F496&lt;&gt;"armor","","TBD")</f>
        <v/>
      </c>
      <c r="P496">
        <f>IF(O496="","",IF(OR(G496="channeling",G496="infusing"),"Magical",IF(G496="blocking","Anti-Physical",IF(G496="warding","Anti-Magical","Physical"))))</f>
        <v/>
      </c>
    </row>
    <row r="497">
      <c r="J497">
        <f>IF(G497="","",IFERROR(IF(G497="infusing",IFERROR(LOOKUP(2,1/ISNUMBER(SEARCH(_lookup!$D$3:$D$4,H497)),_lookup!$E$3:$E$4),"INT"),VLOOKUP(G497,_lookup!$A$3:$B$14,2,FALSE)),""))</f>
        <v/>
      </c>
      <c r="K497">
        <f>IF(F497&lt;&gt;"weapon","",IF(G497="miscellaneous","1-4",IF(I497="","",IFERROR(VLOOKUP(I497&amp;"|"&amp;IF(LEFT(H497,2)="2H",2,1)&amp;"|"&amp;IF(G497="slashing",1,0),_lookup!$G$3:$H$18,2,FALSE),""))))</f>
        <v/>
      </c>
      <c r="L497">
        <f>IF(K497="","",IF(OR(G497="channeling",G497="infusing"),"Magical",IF(G497="blocking","Anti-Physical",IF(G497="warding","Anti-Magical","Physical"))))</f>
        <v/>
      </c>
      <c r="O497">
        <f>IF(F497&lt;&gt;"armor","","TBD")</f>
        <v/>
      </c>
      <c r="P497">
        <f>IF(O497="","",IF(OR(G497="channeling",G497="infusing"),"Magical",IF(G497="blocking","Anti-Physical",IF(G497="warding","Anti-Magical","Physical"))))</f>
        <v/>
      </c>
    </row>
    <row r="498">
      <c r="J498">
        <f>IF(G498="","",IFERROR(IF(G498="infusing",IFERROR(LOOKUP(2,1/ISNUMBER(SEARCH(_lookup!$D$3:$D$4,H498)),_lookup!$E$3:$E$4),"INT"),VLOOKUP(G498,_lookup!$A$3:$B$14,2,FALSE)),""))</f>
        <v/>
      </c>
      <c r="K498">
        <f>IF(F498&lt;&gt;"weapon","",IF(G498="miscellaneous","1-4",IF(I498="","",IFERROR(VLOOKUP(I498&amp;"|"&amp;IF(LEFT(H498,2)="2H",2,1)&amp;"|"&amp;IF(G498="slashing",1,0),_lookup!$G$3:$H$18,2,FALSE),""))))</f>
        <v/>
      </c>
      <c r="L498">
        <f>IF(K498="","",IF(OR(G498="channeling",G498="infusing"),"Magical",IF(G498="blocking","Anti-Physical",IF(G498="warding","Anti-Magical","Physical"))))</f>
        <v/>
      </c>
      <c r="O498">
        <f>IF(F498&lt;&gt;"armor","","TBD")</f>
        <v/>
      </c>
      <c r="P498">
        <f>IF(O498="","",IF(OR(G498="channeling",G498="infusing"),"Magical",IF(G498="blocking","Anti-Physical",IF(G498="warding","Anti-Magical","Physical"))))</f>
        <v/>
      </c>
    </row>
    <row r="499">
      <c r="J499">
        <f>IF(G499="","",IFERROR(IF(G499="infusing",IFERROR(LOOKUP(2,1/ISNUMBER(SEARCH(_lookup!$D$3:$D$4,H499)),_lookup!$E$3:$E$4),"INT"),VLOOKUP(G499,_lookup!$A$3:$B$14,2,FALSE)),""))</f>
        <v/>
      </c>
      <c r="K499">
        <f>IF(F499&lt;&gt;"weapon","",IF(G499="miscellaneous","1-4",IF(I499="","",IFERROR(VLOOKUP(I499&amp;"|"&amp;IF(LEFT(H499,2)="2H",2,1)&amp;"|"&amp;IF(G499="slashing",1,0),_lookup!$G$3:$H$18,2,FALSE),""))))</f>
        <v/>
      </c>
      <c r="L499">
        <f>IF(K499="","",IF(OR(G499="channeling",G499="infusing"),"Magical",IF(G499="blocking","Anti-Physical",IF(G499="warding","Anti-Magical","Physical"))))</f>
        <v/>
      </c>
      <c r="O499">
        <f>IF(F499&lt;&gt;"armor","","TBD")</f>
        <v/>
      </c>
      <c r="P499">
        <f>IF(O499="","",IF(OR(G499="channeling",G499="infusing"),"Magical",IF(G499="blocking","Anti-Physical",IF(G499="warding","Anti-Magical","Physical"))))</f>
        <v/>
      </c>
    </row>
    <row r="500">
      <c r="J500">
        <f>IF(G500="","",IFERROR(IF(G500="infusing",IFERROR(LOOKUP(2,1/ISNUMBER(SEARCH(_lookup!$D$3:$D$4,H500)),_lookup!$E$3:$E$4),"INT"),VLOOKUP(G500,_lookup!$A$3:$B$14,2,FALSE)),""))</f>
        <v/>
      </c>
      <c r="K500">
        <f>IF(F500&lt;&gt;"weapon","",IF(G500="miscellaneous","1-4",IF(I500="","",IFERROR(VLOOKUP(I500&amp;"|"&amp;IF(LEFT(H500,2)="2H",2,1)&amp;"|"&amp;IF(G500="slashing",1,0),_lookup!$G$3:$H$18,2,FALSE),""))))</f>
        <v/>
      </c>
      <c r="L500">
        <f>IF(K500="","",IF(OR(G500="channeling",G500="infusing"),"Magical",IF(G500="blocking","Anti-Physical",IF(G500="warding","Anti-Magical","Physical"))))</f>
        <v/>
      </c>
      <c r="O500">
        <f>IF(F500&lt;&gt;"armor","","TBD")</f>
        <v/>
      </c>
      <c r="P500">
        <f>IF(O500="","",IF(OR(G500="channeling",G500="infusing"),"Magical",IF(G500="blocking","Anti-Physical",IF(G500="warding","Anti-Magical","Physical"))))</f>
        <v/>
      </c>
    </row>
  </sheetData>
  <dataValidations count="2">
    <dataValidation sqref="G2:G500" showDropDown="0" showInputMessage="0" showErrorMessage="0" allowBlank="1" type="list">
      <formula1>INDIRECT(SUBSTITUTE($F2," ","_"))</formula1>
    </dataValidation>
    <dataValidation sqref="H2:H500" showDropDown="0" showInputMessage="0" showErrorMessage="0" allowBlank="1" type="list">
      <formula1>INDIRECT(SUBSTITUTE($G2," ","_"))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0"/>
  <sheetViews>
    <sheetView workbookViewId="0">
      <pane ySplit="1" topLeftCell="A2" activePane="bottomLeft" state="frozen"/>
      <selection pane="bottomLeft" activeCell="E6" sqref="E6"/>
    </sheetView>
  </sheetViews>
  <sheetFormatPr baseColWidth="8" defaultRowHeight="15"/>
  <cols>
    <col width="4.5703125" customWidth="1" min="1" max="1"/>
    <col width="9.140625" customWidth="1" min="2" max="2"/>
    <col width="4" customWidth="1" min="3" max="3"/>
    <col width="8.28515625" customWidth="1" min="4" max="4"/>
    <col width="28" customWidth="1" min="5" max="5"/>
    <col width="7.5703125" customWidth="1" min="6" max="6"/>
    <col width="11.42578125" customWidth="1" min="7" max="7"/>
    <col width="12.28515625" customWidth="1" min="8" max="8"/>
    <col width="2.5703125" customWidth="1" min="9" max="9"/>
    <col width="4.28515625" customWidth="1" min="10" max="10"/>
    <col width="4.85546875" customWidth="1" min="11" max="11"/>
    <col width="4.42578125" customWidth="1" min="12" max="12"/>
    <col width="3.85546875" customWidth="1" min="13" max="13"/>
    <col width="3.140625" customWidth="1" min="14" max="14"/>
    <col width="3.7109375" customWidth="1" min="15" max="15"/>
    <col width="4" customWidth="1" min="16" max="16"/>
    <col width="3.42578125" customWidth="1" min="17" max="17"/>
    <col width="2.7109375" customWidth="1" min="18" max="18"/>
    <col width="6.28515625" customWidth="1" min="19" max="19"/>
    <col width="27.140625" customWidth="1" min="20" max="20"/>
    <col width="8.140625" customWidth="1" min="21" max="21"/>
    <col width="6" customWidth="1" min="25" max="25"/>
    <col width="7" customWidth="1" min="26" max="26"/>
  </cols>
  <sheetData>
    <row r="1">
      <c r="A1" s="10" t="inlineStr">
        <is>
          <t>item_id</t>
        </is>
      </c>
      <c r="B1" s="10" t="inlineStr">
        <is>
          <t>template</t>
        </is>
      </c>
      <c r="C1" s="10" t="inlineStr">
        <is>
          <t>tts_type</t>
        </is>
      </c>
      <c r="D1" s="10" t="inlineStr">
        <is>
          <t>set</t>
        </is>
      </c>
      <c r="E1" s="10" t="inlineStr">
        <is>
          <t>name</t>
        </is>
      </c>
      <c r="F1" s="10" t="inlineStr">
        <is>
          <t>type</t>
        </is>
      </c>
      <c r="G1" s="10" t="inlineStr">
        <is>
          <t>subtype</t>
        </is>
      </c>
      <c r="H1" s="10" t="inlineStr">
        <is>
          <t>subsubtype</t>
        </is>
      </c>
      <c r="I1" s="10" t="inlineStr">
        <is>
          <t>tier</t>
        </is>
      </c>
      <c r="J1" s="12" t="inlineStr">
        <is>
          <t>stat</t>
        </is>
      </c>
      <c r="K1" s="12" t="inlineStr">
        <is>
          <t>damage_range</t>
        </is>
      </c>
      <c r="L1" s="12" t="inlineStr">
        <is>
          <t>damage_type</t>
        </is>
      </c>
      <c r="M1" s="12" t="inlineStr">
        <is>
          <t>damage_range2</t>
        </is>
      </c>
      <c r="N1" s="12" t="inlineStr">
        <is>
          <t>damage_type2</t>
        </is>
      </c>
      <c r="O1" s="12" t="inlineStr">
        <is>
          <t>armor_range</t>
        </is>
      </c>
      <c r="P1" s="12" t="inlineStr">
        <is>
          <t>armor_type</t>
        </is>
      </c>
      <c r="Q1" s="12" t="inlineStr">
        <is>
          <t>armor_range2</t>
        </is>
      </c>
      <c r="R1" s="12" t="inlineStr">
        <is>
          <t>armor_type2</t>
        </is>
      </c>
      <c r="S1" s="15" t="inlineStr">
        <is>
          <t>base_gold</t>
        </is>
      </c>
      <c r="T1" s="10" t="inlineStr">
        <is>
          <t>effect</t>
        </is>
      </c>
      <c r="U1" s="10" t="inlineStr">
        <is>
          <t>flavor</t>
        </is>
      </c>
      <c r="V1" s="10" t="inlineStr">
        <is>
          <t>cooldown</t>
        </is>
      </c>
      <c r="W1" s="10" t="inlineStr">
        <is>
          <t>uses</t>
        </is>
      </c>
      <c r="X1" s="15" t="inlineStr">
        <is>
          <t>gmnotes</t>
        </is>
      </c>
      <c r="Y1" s="10" t="inlineStr">
        <is>
          <t>image_front</t>
        </is>
      </c>
      <c r="Z1" s="10" t="inlineStr">
        <is>
          <t>image_back</t>
        </is>
      </c>
      <c r="AA1" s="11" t="n"/>
    </row>
    <row r="2">
      <c r="A2" t="inlineStr">
        <is>
          <t>ST1</t>
        </is>
      </c>
      <c r="B2" t="inlineStr">
        <is>
          <t>status_template</t>
        </is>
      </c>
      <c r="C2" t="inlineStr">
        <is>
          <t>tile</t>
        </is>
      </c>
      <c r="J2">
        <f>IF(G2="","",IFERROR(IF(G2="infusing",IFERROR(LOOKUP(2,1/ISNUMBER(SEARCH(_lookup!$D$3:$D$4,H2)),_lookup!$E$3:$E$4),"INT"),VLOOKUP(G2,_lookup!$A$3:$B$14,2,FALSE)),""))</f>
        <v/>
      </c>
      <c r="K2">
        <f>IF(F2&lt;&gt;"weapon","",IF(G2="miscellaneous","1-4",IF(I2="","",IFERROR(VLOOKUP(I2&amp;"|"&amp;IF(LEFT(H2,2)="2H",2,1)&amp;"|"&amp;IF(G2="slashing",1,0),_lookup!$G$3:$H$18,2,FALSE),""))))</f>
        <v/>
      </c>
      <c r="L2">
        <f>IF(K2="","",IF(OR(G2="channeling",G2="infusing"),"Magical",IF(G2="blocking","Anti-Physical",IF(G2="warding","Anti-Magical","Physical"))))</f>
        <v/>
      </c>
      <c r="O2">
        <f>IF(F2&lt;&gt;"armor","","TBD")</f>
        <v/>
      </c>
      <c r="P2">
        <f>IF(O2="","",IF(OR(G2="channeling",G2="infusing"),"Magical",IF(G2="blocking","Anti-Physical",IF(G2="warding","Anti-Magical","Physical"))))</f>
        <v/>
      </c>
    </row>
    <row r="3">
      <c r="A3" t="inlineStr">
        <is>
          <t>ST2</t>
        </is>
      </c>
      <c r="B3" t="inlineStr">
        <is>
          <t>status_template</t>
        </is>
      </c>
      <c r="C3" t="inlineStr">
        <is>
          <t>tile</t>
        </is>
      </c>
      <c r="J3">
        <f>IF(G3="","",IFERROR(IF(G3="infusing",IFERROR(LOOKUP(2,1/ISNUMBER(SEARCH(_lookup!$D$3:$D$4,H3)),_lookup!$E$3:$E$4),"INT"),VLOOKUP(G3,_lookup!$A$3:$B$14,2,FALSE)),""))</f>
        <v/>
      </c>
      <c r="K3">
        <f>IF(F3&lt;&gt;"weapon","",IF(G3="miscellaneous","1-4",IF(I3="","",IFERROR(VLOOKUP(I3&amp;"|"&amp;IF(LEFT(H3,2)="2H",2,1)&amp;"|"&amp;IF(G3="slashing",1,0),_lookup!$G$3:$H$18,2,FALSE),""))))</f>
        <v/>
      </c>
      <c r="L3">
        <f>IF(K3="","",IF(OR(G3="channeling",G3="infusing"),"Magical",IF(G3="blocking","Anti-Physical",IF(G3="warding","Anti-Magical","Physical"))))</f>
        <v/>
      </c>
      <c r="O3">
        <f>IF(F3&lt;&gt;"armor","","TBD")</f>
        <v/>
      </c>
      <c r="P3">
        <f>IF(O3="","",IF(OR(G3="channeling",G3="infusing"),"Magical",IF(G3="blocking","Anti-Physical",IF(G3="warding","Anti-Magical","Physical"))))</f>
        <v/>
      </c>
    </row>
    <row r="4">
      <c r="A4" t="inlineStr">
        <is>
          <t>ST3</t>
        </is>
      </c>
      <c r="B4" t="inlineStr">
        <is>
          <t>status_template</t>
        </is>
      </c>
      <c r="C4" t="inlineStr">
        <is>
          <t>tile</t>
        </is>
      </c>
      <c r="J4">
        <f>IF(G4="","",IFERROR(IF(G4="infusing",IFERROR(LOOKUP(2,1/ISNUMBER(SEARCH(_lookup!$D$3:$D$4,H4)),_lookup!$E$3:$E$4),"INT"),VLOOKUP(G4,_lookup!$A$3:$B$14,2,FALSE)),""))</f>
        <v/>
      </c>
      <c r="K4">
        <f>IF(F4&lt;&gt;"weapon","",IF(G4="miscellaneous","1-4",IF(I4="","",IFERROR(VLOOKUP(I4&amp;"|"&amp;IF(LEFT(H4,2)="2H",2,1)&amp;"|"&amp;IF(G4="slashing",1,0),_lookup!$G$3:$H$18,2,FALSE),""))))</f>
        <v/>
      </c>
      <c r="L4">
        <f>IF(K4="","",IF(OR(G4="channeling",G4="infusing"),"Magical",IF(G4="blocking","Anti-Physical",IF(G4="warding","Anti-Magical","Physical"))))</f>
        <v/>
      </c>
      <c r="O4">
        <f>IF(F4&lt;&gt;"armor","","TBD")</f>
        <v/>
      </c>
      <c r="P4">
        <f>IF(O4="","",IF(OR(G4="channeling",G4="infusing"),"Magical",IF(G4="blocking","Anti-Physical",IF(G4="warding","Anti-Magical","Physical"))))</f>
        <v/>
      </c>
    </row>
    <row r="5">
      <c r="A5" t="inlineStr">
        <is>
          <t>ST4</t>
        </is>
      </c>
      <c r="B5" t="inlineStr">
        <is>
          <t>status_template</t>
        </is>
      </c>
      <c r="C5" t="inlineStr">
        <is>
          <t>tile</t>
        </is>
      </c>
      <c r="J5">
        <f>IF(G5="","",IFERROR(IF(G5="infusing",IFERROR(LOOKUP(2,1/ISNUMBER(SEARCH(_lookup!$D$3:$D$4,H5)),_lookup!$E$3:$E$4),"INT"),VLOOKUP(G5,_lookup!$A$3:$B$14,2,FALSE)),""))</f>
        <v/>
      </c>
      <c r="K5">
        <f>IF(F5&lt;&gt;"weapon","",IF(G5="miscellaneous","1-4",IF(I5="","",IFERROR(VLOOKUP(I5&amp;"|"&amp;IF(LEFT(H5,2)="2H",2,1)&amp;"|"&amp;IF(G5="slashing",1,0),_lookup!$G$3:$H$18,2,FALSE),""))))</f>
        <v/>
      </c>
      <c r="L5">
        <f>IF(K5="","",IF(OR(G5="channeling",G5="infusing"),"Magical",IF(G5="blocking","Anti-Physical",IF(G5="warding","Anti-Magical","Physical"))))</f>
        <v/>
      </c>
      <c r="O5">
        <f>IF(F5&lt;&gt;"armor","","TBD")</f>
        <v/>
      </c>
      <c r="P5">
        <f>IF(O5="","",IF(OR(G5="channeling",G5="infusing"),"Magical",IF(G5="blocking","Anti-Physical",IF(G5="warding","Anti-Magical","Physical"))))</f>
        <v/>
      </c>
    </row>
    <row r="6">
      <c r="A6" t="inlineStr">
        <is>
          <t>ST5</t>
        </is>
      </c>
      <c r="B6" t="inlineStr">
        <is>
          <t>status_template</t>
        </is>
      </c>
      <c r="C6" t="inlineStr">
        <is>
          <t>tile</t>
        </is>
      </c>
      <c r="J6">
        <f>IF(G6="","",IFERROR(IF(G6="infusing",IFERROR(LOOKUP(2,1/ISNUMBER(SEARCH(_lookup!$D$3:$D$4,H6)),_lookup!$E$3:$E$4),"INT"),VLOOKUP(G6,_lookup!$A$3:$B$14,2,FALSE)),""))</f>
        <v/>
      </c>
      <c r="K6">
        <f>IF(F6&lt;&gt;"weapon","",IF(G6="miscellaneous","1-4",IF(I6="","",IFERROR(VLOOKUP(I6&amp;"|"&amp;IF(LEFT(H6,2)="2H",2,1)&amp;"|"&amp;IF(G6="slashing",1,0),_lookup!$G$3:$H$18,2,FALSE),""))))</f>
        <v/>
      </c>
      <c r="L6">
        <f>IF(K6="","",IF(OR(G6="channeling",G6="infusing"),"Magical",IF(G6="blocking","Anti-Physical",IF(G6="warding","Anti-Magical","Physical"))))</f>
        <v/>
      </c>
      <c r="O6">
        <f>IF(F6&lt;&gt;"armor","","TBD")</f>
        <v/>
      </c>
      <c r="P6">
        <f>IF(O6="","",IF(OR(G6="channeling",G6="infusing"),"Magical",IF(G6="blocking","Anti-Physical",IF(G6="warding","Anti-Magical","Physical"))))</f>
        <v/>
      </c>
    </row>
    <row r="7">
      <c r="A7" t="inlineStr">
        <is>
          <t>ST6</t>
        </is>
      </c>
      <c r="B7" t="inlineStr">
        <is>
          <t>status_template</t>
        </is>
      </c>
      <c r="C7" t="inlineStr">
        <is>
          <t>tile</t>
        </is>
      </c>
      <c r="J7">
        <f>IF(G7="","",IFERROR(IF(G7="infusing",IFERROR(LOOKUP(2,1/ISNUMBER(SEARCH(_lookup!$D$3:$D$4,H7)),_lookup!$E$3:$E$4),"INT"),VLOOKUP(G7,_lookup!$A$3:$B$14,2,FALSE)),""))</f>
        <v/>
      </c>
      <c r="K7">
        <f>IF(F7&lt;&gt;"weapon","",IF(G7="miscellaneous","1-4",IF(I7="","",IFERROR(VLOOKUP(I7&amp;"|"&amp;IF(LEFT(H7,2)="2H",2,1)&amp;"|"&amp;IF(G7="slashing",1,0),_lookup!$G$3:$H$18,2,FALSE),""))))</f>
        <v/>
      </c>
      <c r="L7">
        <f>IF(K7="","",IF(OR(G7="channeling",G7="infusing"),"Magical",IF(G7="blocking","Anti-Physical",IF(G7="warding","Anti-Magical","Physical"))))</f>
        <v/>
      </c>
      <c r="O7">
        <f>IF(F7&lt;&gt;"armor","","TBD")</f>
        <v/>
      </c>
      <c r="P7">
        <f>IF(O7="","",IF(OR(G7="channeling",G7="infusing"),"Magical",IF(G7="blocking","Anti-Physical",IF(G7="warding","Anti-Magical","Physical"))))</f>
        <v/>
      </c>
    </row>
    <row r="8">
      <c r="A8" t="inlineStr">
        <is>
          <t>ST7</t>
        </is>
      </c>
      <c r="B8" t="inlineStr">
        <is>
          <t>status_template</t>
        </is>
      </c>
      <c r="C8" t="inlineStr">
        <is>
          <t>tile</t>
        </is>
      </c>
      <c r="J8">
        <f>IF(G8="","",IFERROR(IF(G8="infusing",IFERROR(LOOKUP(2,1/ISNUMBER(SEARCH(_lookup!$D$3:$D$4,H8)),_lookup!$E$3:$E$4),"INT"),VLOOKUP(G8,_lookup!$A$3:$B$14,2,FALSE)),""))</f>
        <v/>
      </c>
      <c r="K8">
        <f>IF(F8&lt;&gt;"weapon","",IF(G8="miscellaneous","1-4",IF(I8="","",IFERROR(VLOOKUP(I8&amp;"|"&amp;IF(LEFT(H8,2)="2H",2,1)&amp;"|"&amp;IF(G8="slashing",1,0),_lookup!$G$3:$H$18,2,FALSE),""))))</f>
        <v/>
      </c>
      <c r="L8">
        <f>IF(K8="","",IF(OR(G8="channeling",G8="infusing"),"Magical",IF(G8="blocking","Anti-Physical",IF(G8="warding","Anti-Magical","Physical"))))</f>
        <v/>
      </c>
      <c r="O8">
        <f>IF(F8&lt;&gt;"armor","","TBD")</f>
        <v/>
      </c>
      <c r="P8">
        <f>IF(O8="","",IF(OR(G8="channeling",G8="infusing"),"Magical",IF(G8="blocking","Anti-Physical",IF(G8="warding","Anti-Magical","Physical"))))</f>
        <v/>
      </c>
    </row>
    <row r="9">
      <c r="A9" t="inlineStr">
        <is>
          <t>ST8</t>
        </is>
      </c>
      <c r="B9" t="inlineStr">
        <is>
          <t>status_template</t>
        </is>
      </c>
      <c r="C9" t="inlineStr">
        <is>
          <t>tile</t>
        </is>
      </c>
      <c r="J9">
        <f>IF(G9="","",IFERROR(IF(G9="infusing",IFERROR(LOOKUP(2,1/ISNUMBER(SEARCH(_lookup!$D$3:$D$4,H9)),_lookup!$E$3:$E$4),"INT"),VLOOKUP(G9,_lookup!$A$3:$B$14,2,FALSE)),""))</f>
        <v/>
      </c>
      <c r="K9">
        <f>IF(F9&lt;&gt;"weapon","",IF(G9="miscellaneous","1-4",IF(I9="","",IFERROR(VLOOKUP(I9&amp;"|"&amp;IF(LEFT(H9,2)="2H",2,1)&amp;"|"&amp;IF(G9="slashing",1,0),_lookup!$G$3:$H$18,2,FALSE),""))))</f>
        <v/>
      </c>
      <c r="L9">
        <f>IF(K9="","",IF(OR(G9="channeling",G9="infusing"),"Magical",IF(G9="blocking","Anti-Physical",IF(G9="warding","Anti-Magical","Physical"))))</f>
        <v/>
      </c>
      <c r="O9">
        <f>IF(F9&lt;&gt;"armor","","TBD")</f>
        <v/>
      </c>
      <c r="P9">
        <f>IF(O9="","",IF(OR(G9="channeling",G9="infusing"),"Magical",IF(G9="blocking","Anti-Physical",IF(G9="warding","Anti-Magical","Physical"))))</f>
        <v/>
      </c>
    </row>
    <row r="10">
      <c r="A10" t="inlineStr">
        <is>
          <t>ST9</t>
        </is>
      </c>
      <c r="B10" t="inlineStr">
        <is>
          <t>status_template</t>
        </is>
      </c>
      <c r="C10" t="inlineStr">
        <is>
          <t>tile</t>
        </is>
      </c>
      <c r="J10">
        <f>IF(G10="","",IFERROR(IF(G10="infusing",IFERROR(LOOKUP(2,1/ISNUMBER(SEARCH(_lookup!$D$3:$D$4,H10)),_lookup!$E$3:$E$4),"INT"),VLOOKUP(G10,_lookup!$A$3:$B$14,2,FALSE)),""))</f>
        <v/>
      </c>
      <c r="K10">
        <f>IF(F10&lt;&gt;"weapon","",IF(G10="miscellaneous","1-4",IF(I10="","",IFERROR(VLOOKUP(I10&amp;"|"&amp;IF(LEFT(H10,2)="2H",2,1)&amp;"|"&amp;IF(G10="slashing",1,0),_lookup!$G$3:$H$18,2,FALSE),""))))</f>
        <v/>
      </c>
      <c r="L10">
        <f>IF(K10="","",IF(OR(G10="channeling",G10="infusing"),"Magical",IF(G10="blocking","Anti-Physical",IF(G10="warding","Anti-Magical","Physical"))))</f>
        <v/>
      </c>
      <c r="O10">
        <f>IF(F10&lt;&gt;"armor","","TBD")</f>
        <v/>
      </c>
      <c r="P10">
        <f>IF(O10="","",IF(OR(G10="channeling",G10="infusing"),"Magical",IF(G10="blocking","Anti-Physical",IF(G10="warding","Anti-Magical","Physical"))))</f>
        <v/>
      </c>
      <c r="Y10" s="7" t="n"/>
    </row>
    <row r="11">
      <c r="A11" t="inlineStr">
        <is>
          <t>ST10</t>
        </is>
      </c>
      <c r="B11" t="inlineStr">
        <is>
          <t>status_template</t>
        </is>
      </c>
      <c r="C11" t="inlineStr">
        <is>
          <t>tile</t>
        </is>
      </c>
      <c r="J11">
        <f>IF(G11="","",IFERROR(IF(G11="infusing",IFERROR(LOOKUP(2,1/ISNUMBER(SEARCH(_lookup!$D$3:$D$4,H11)),_lookup!$E$3:$E$4),"INT"),VLOOKUP(G11,_lookup!$A$3:$B$14,2,FALSE)),""))</f>
        <v/>
      </c>
      <c r="K11">
        <f>IF(F11&lt;&gt;"weapon","",IF(G11="miscellaneous","1-4",IF(I11="","",IFERROR(VLOOKUP(I11&amp;"|"&amp;IF(LEFT(H11,2)="2H",2,1)&amp;"|"&amp;IF(G11="slashing",1,0),_lookup!$G$3:$H$18,2,FALSE),""))))</f>
        <v/>
      </c>
      <c r="L11">
        <f>IF(K11="","",IF(OR(G11="channeling",G11="infusing"),"Magical",IF(G11="blocking","Anti-Physical",IF(G11="warding","Anti-Magical","Physical"))))</f>
        <v/>
      </c>
      <c r="O11">
        <f>IF(F11&lt;&gt;"armor","","TBD")</f>
        <v/>
      </c>
      <c r="P11">
        <f>IF(O11="","",IF(OR(G11="channeling",G11="infusing"),"Magical",IF(G11="blocking","Anti-Physical",IF(G11="warding","Anti-Magical","Physical"))))</f>
        <v/>
      </c>
    </row>
    <row r="12">
      <c r="A12" t="inlineStr">
        <is>
          <t>ST11</t>
        </is>
      </c>
      <c r="B12" t="inlineStr">
        <is>
          <t>status_template</t>
        </is>
      </c>
      <c r="C12" t="inlineStr">
        <is>
          <t>tile</t>
        </is>
      </c>
      <c r="J12">
        <f>IF(G12="","",IFERROR(IF(G12="infusing",IFERROR(LOOKUP(2,1/ISNUMBER(SEARCH(_lookup!$D$3:$D$4,H12)),_lookup!$E$3:$E$4),"INT"),VLOOKUP(G12,_lookup!$A$3:$B$14,2,FALSE)),""))</f>
        <v/>
      </c>
      <c r="K12">
        <f>IF(F12&lt;&gt;"weapon","",IF(G12="miscellaneous","1-4",IF(I12="","",IFERROR(VLOOKUP(I12&amp;"|"&amp;IF(LEFT(H12,2)="2H",2,1)&amp;"|"&amp;IF(G12="slashing",1,0),_lookup!$G$3:$H$18,2,FALSE),""))))</f>
        <v/>
      </c>
      <c r="L12">
        <f>IF(K12="","",IF(OR(G12="channeling",G12="infusing"),"Magical",IF(G12="blocking","Anti-Physical",IF(G12="warding","Anti-Magical","Physical"))))</f>
        <v/>
      </c>
      <c r="O12">
        <f>IF(F12&lt;&gt;"armor","","TBD")</f>
        <v/>
      </c>
      <c r="P12">
        <f>IF(O12="","",IF(OR(G12="channeling",G12="infusing"),"Magical",IF(G12="blocking","Anti-Physical",IF(G12="warding","Anti-Magical","Physical"))))</f>
        <v/>
      </c>
    </row>
    <row r="13">
      <c r="A13" t="inlineStr">
        <is>
          <t>ST12</t>
        </is>
      </c>
      <c r="B13" t="inlineStr">
        <is>
          <t>status_template</t>
        </is>
      </c>
      <c r="C13" t="inlineStr">
        <is>
          <t>tile</t>
        </is>
      </c>
      <c r="J13">
        <f>IF(G13="","",IFERROR(IF(G13="infusing",IFERROR(LOOKUP(2,1/ISNUMBER(SEARCH(_lookup!$D$3:$D$4,H13)),_lookup!$E$3:$E$4),"INT"),VLOOKUP(G13,_lookup!$A$3:$B$14,2,FALSE)),""))</f>
        <v/>
      </c>
      <c r="K13">
        <f>IF(F13&lt;&gt;"weapon","",IF(G13="miscellaneous","1-4",IF(I13="","",IFERROR(VLOOKUP(I13&amp;"|"&amp;IF(LEFT(H13,2)="2H",2,1)&amp;"|"&amp;IF(G13="slashing",1,0),_lookup!$G$3:$H$18,2,FALSE),""))))</f>
        <v/>
      </c>
      <c r="L13">
        <f>IF(K13="","",IF(OR(G13="channeling",G13="infusing"),"Magical",IF(G13="blocking","Anti-Physical",IF(G13="warding","Anti-Magical","Physical"))))</f>
        <v/>
      </c>
      <c r="O13">
        <f>IF(F13&lt;&gt;"armor","","TBD")</f>
        <v/>
      </c>
      <c r="P13">
        <f>IF(O13="","",IF(OR(G13="channeling",G13="infusing"),"Magical",IF(G13="blocking","Anti-Physical",IF(G13="warding","Anti-Magical","Physical"))))</f>
        <v/>
      </c>
    </row>
    <row r="14">
      <c r="A14" t="inlineStr">
        <is>
          <t>ST13</t>
        </is>
      </c>
      <c r="B14" t="inlineStr">
        <is>
          <t>status_template</t>
        </is>
      </c>
      <c r="C14" t="inlineStr">
        <is>
          <t>tile</t>
        </is>
      </c>
      <c r="J14">
        <f>IF(G14="","",IFERROR(IF(G14="infusing",IFERROR(LOOKUP(2,1/ISNUMBER(SEARCH(_lookup!$D$3:$D$4,H14)),_lookup!$E$3:$E$4),"INT"),VLOOKUP(G14,_lookup!$A$3:$B$14,2,FALSE)),""))</f>
        <v/>
      </c>
      <c r="K14">
        <f>IF(F14&lt;&gt;"weapon","",IF(G14="miscellaneous","1-4",IF(I14="","",IFERROR(VLOOKUP(I14&amp;"|"&amp;IF(LEFT(H14,2)="2H",2,1)&amp;"|"&amp;IF(G14="slashing",1,0),_lookup!$G$3:$H$18,2,FALSE),""))))</f>
        <v/>
      </c>
      <c r="L14">
        <f>IF(K14="","",IF(OR(G14="channeling",G14="infusing"),"Magical",IF(G14="blocking","Anti-Physical",IF(G14="warding","Anti-Magical","Physical"))))</f>
        <v/>
      </c>
      <c r="O14">
        <f>IF(F14&lt;&gt;"armor","","TBD")</f>
        <v/>
      </c>
      <c r="P14">
        <f>IF(O14="","",IF(OR(G14="channeling",G14="infusing"),"Magical",IF(G14="blocking","Anti-Physical",IF(G14="warding","Anti-Magical","Physical"))))</f>
        <v/>
      </c>
    </row>
    <row r="15">
      <c r="A15" t="inlineStr">
        <is>
          <t>ST14</t>
        </is>
      </c>
      <c r="B15" t="inlineStr">
        <is>
          <t>status_template</t>
        </is>
      </c>
      <c r="C15" t="inlineStr">
        <is>
          <t>tile</t>
        </is>
      </c>
      <c r="J15">
        <f>IF(G15="","",IFERROR(IF(G15="infusing",IFERROR(LOOKUP(2,1/ISNUMBER(SEARCH(_lookup!$D$3:$D$4,H15)),_lookup!$E$3:$E$4),"INT"),VLOOKUP(G15,_lookup!$A$3:$B$14,2,FALSE)),""))</f>
        <v/>
      </c>
      <c r="K15">
        <f>IF(F15&lt;&gt;"weapon","",IF(G15="miscellaneous","1-4",IF(I15="","",IFERROR(VLOOKUP(I15&amp;"|"&amp;IF(LEFT(H15,2)="2H",2,1)&amp;"|"&amp;IF(G15="slashing",1,0),_lookup!$G$3:$H$18,2,FALSE),""))))</f>
        <v/>
      </c>
      <c r="L15">
        <f>IF(K15="","",IF(OR(G15="channeling",G15="infusing"),"Magical",IF(G15="blocking","Anti-Physical",IF(G15="warding","Anti-Magical","Physical"))))</f>
        <v/>
      </c>
      <c r="O15">
        <f>IF(F15&lt;&gt;"armor","","TBD")</f>
        <v/>
      </c>
      <c r="P15">
        <f>IF(O15="","",IF(OR(G15="channeling",G15="infusing"),"Magical",IF(G15="blocking","Anti-Physical",IF(G15="warding","Anti-Magical","Physical"))))</f>
        <v/>
      </c>
    </row>
    <row r="16">
      <c r="A16" t="inlineStr">
        <is>
          <t>ST15</t>
        </is>
      </c>
      <c r="B16" t="inlineStr">
        <is>
          <t>status_template</t>
        </is>
      </c>
      <c r="C16" t="inlineStr">
        <is>
          <t>tile</t>
        </is>
      </c>
      <c r="J16">
        <f>IF(G16="","",IFERROR(IF(G16="infusing",IFERROR(LOOKUP(2,1/ISNUMBER(SEARCH(_lookup!$D$3:$D$4,H16)),_lookup!$E$3:$E$4),"INT"),VLOOKUP(G16,_lookup!$A$3:$B$14,2,FALSE)),""))</f>
        <v/>
      </c>
      <c r="K16">
        <f>IF(F16&lt;&gt;"weapon","",IF(G16="miscellaneous","1-4",IF(I16="","",IFERROR(VLOOKUP(I16&amp;"|"&amp;IF(LEFT(H16,2)="2H",2,1)&amp;"|"&amp;IF(G16="slashing",1,0),_lookup!$G$3:$H$18,2,FALSE),""))))</f>
        <v/>
      </c>
      <c r="L16">
        <f>IF(K16="","",IF(OR(G16="channeling",G16="infusing"),"Magical",IF(G16="blocking","Anti-Physical",IF(G16="warding","Anti-Magical","Physical"))))</f>
        <v/>
      </c>
      <c r="O16">
        <f>IF(F16&lt;&gt;"armor","","TBD")</f>
        <v/>
      </c>
      <c r="P16">
        <f>IF(O16="","",IF(OR(G16="channeling",G16="infusing"),"Magical",IF(G16="blocking","Anti-Physical",IF(G16="warding","Anti-Magical","Physical"))))</f>
        <v/>
      </c>
    </row>
    <row r="17">
      <c r="A17" t="inlineStr">
        <is>
          <t>ST16</t>
        </is>
      </c>
      <c r="B17" t="inlineStr">
        <is>
          <t>status_template</t>
        </is>
      </c>
      <c r="C17" t="inlineStr">
        <is>
          <t>tile</t>
        </is>
      </c>
      <c r="J17">
        <f>IF(G17="","",IFERROR(IF(G17="infusing",IFERROR(LOOKUP(2,1/ISNUMBER(SEARCH(_lookup!$D$3:$D$4,H17)),_lookup!$E$3:$E$4),"INT"),VLOOKUP(G17,_lookup!$A$3:$B$14,2,FALSE)),""))</f>
        <v/>
      </c>
      <c r="K17">
        <f>IF(F17&lt;&gt;"weapon","",IF(G17="miscellaneous","1-4",IF(I17="","",IFERROR(VLOOKUP(I17&amp;"|"&amp;IF(LEFT(H17,2)="2H",2,1)&amp;"|"&amp;IF(G17="slashing",1,0),_lookup!$G$3:$H$18,2,FALSE),""))))</f>
        <v/>
      </c>
      <c r="L17">
        <f>IF(K17="","",IF(OR(G17="channeling",G17="infusing"),"Magical",IF(G17="blocking","Anti-Physical",IF(G17="warding","Anti-Magical","Physical"))))</f>
        <v/>
      </c>
      <c r="O17">
        <f>IF(F17&lt;&gt;"armor","","TBD")</f>
        <v/>
      </c>
      <c r="P17">
        <f>IF(O17="","",IF(OR(G17="channeling",G17="infusing"),"Magical",IF(G17="blocking","Anti-Physical",IF(G17="warding","Anti-Magical","Physical"))))</f>
        <v/>
      </c>
    </row>
    <row r="18">
      <c r="A18" t="inlineStr">
        <is>
          <t>ST17</t>
        </is>
      </c>
      <c r="B18" t="inlineStr">
        <is>
          <t>status_template</t>
        </is>
      </c>
      <c r="C18" t="inlineStr">
        <is>
          <t>tile</t>
        </is>
      </c>
      <c r="J18">
        <f>IF(G18="","",IFERROR(IF(G18="infusing",IFERROR(LOOKUP(2,1/ISNUMBER(SEARCH(_lookup!$D$3:$D$4,H18)),_lookup!$E$3:$E$4),"INT"),VLOOKUP(G18,_lookup!$A$3:$B$14,2,FALSE)),""))</f>
        <v/>
      </c>
      <c r="K18">
        <f>IF(F18&lt;&gt;"weapon","",IF(G18="miscellaneous","1-4",IF(I18="","",IFERROR(VLOOKUP(I18&amp;"|"&amp;IF(LEFT(H18,2)="2H",2,1)&amp;"|"&amp;IF(G18="slashing",1,0),_lookup!$G$3:$H$18,2,FALSE),""))))</f>
        <v/>
      </c>
      <c r="L18">
        <f>IF(K18="","",IF(OR(G18="channeling",G18="infusing"),"Magical",IF(G18="blocking","Anti-Physical",IF(G18="warding","Anti-Magical","Physical"))))</f>
        <v/>
      </c>
      <c r="O18">
        <f>IF(F18&lt;&gt;"armor","","TBD")</f>
        <v/>
      </c>
      <c r="P18">
        <f>IF(O18="","",IF(OR(G18="channeling",G18="infusing"),"Magical",IF(G18="blocking","Anti-Physical",IF(G18="warding","Anti-Magical","Physical"))))</f>
        <v/>
      </c>
    </row>
    <row r="19">
      <c r="A19" t="inlineStr">
        <is>
          <t>ST18</t>
        </is>
      </c>
      <c r="B19" t="inlineStr">
        <is>
          <t>status_template</t>
        </is>
      </c>
      <c r="C19" t="inlineStr">
        <is>
          <t>tile</t>
        </is>
      </c>
      <c r="J19">
        <f>IF(G19="","",IFERROR(IF(G19="infusing",IFERROR(LOOKUP(2,1/ISNUMBER(SEARCH(_lookup!$D$3:$D$4,H19)),_lookup!$E$3:$E$4),"INT"),VLOOKUP(G19,_lookup!$A$3:$B$14,2,FALSE)),""))</f>
        <v/>
      </c>
      <c r="K19">
        <f>IF(F19&lt;&gt;"weapon","",IF(G19="miscellaneous","1-4",IF(I19="","",IFERROR(VLOOKUP(I19&amp;"|"&amp;IF(LEFT(H19,2)="2H",2,1)&amp;"|"&amp;IF(G19="slashing",1,0),_lookup!$G$3:$H$18,2,FALSE),""))))</f>
        <v/>
      </c>
      <c r="L19">
        <f>IF(K19="","",IF(OR(G19="channeling",G19="infusing"),"Magical",IF(G19="blocking","Anti-Physical",IF(G19="warding","Anti-Magical","Physical"))))</f>
        <v/>
      </c>
      <c r="O19">
        <f>IF(F19&lt;&gt;"armor","","TBD")</f>
        <v/>
      </c>
      <c r="P19">
        <f>IF(O19="","",IF(OR(G19="channeling",G19="infusing"),"Magical",IF(G19="blocking","Anti-Physical",IF(G19="warding","Anti-Magical","Physical"))))</f>
        <v/>
      </c>
    </row>
    <row r="20">
      <c r="A20" t="inlineStr">
        <is>
          <t>ST19</t>
        </is>
      </c>
      <c r="B20" t="inlineStr">
        <is>
          <t>status_template</t>
        </is>
      </c>
      <c r="C20" t="inlineStr">
        <is>
          <t>tile</t>
        </is>
      </c>
      <c r="J20">
        <f>IF(G20="","",IFERROR(IF(G20="infusing",IFERROR(LOOKUP(2,1/ISNUMBER(SEARCH(_lookup!$D$3:$D$4,H20)),_lookup!$E$3:$E$4),"INT"),VLOOKUP(G20,_lookup!$A$3:$B$14,2,FALSE)),""))</f>
        <v/>
      </c>
      <c r="K20">
        <f>IF(F20&lt;&gt;"weapon","",IF(G20="miscellaneous","1-4",IF(I20="","",IFERROR(VLOOKUP(I20&amp;"|"&amp;IF(LEFT(H20,2)="2H",2,1)&amp;"|"&amp;IF(G20="slashing",1,0),_lookup!$G$3:$H$18,2,FALSE),""))))</f>
        <v/>
      </c>
      <c r="L20">
        <f>IF(K20="","",IF(OR(G20="channeling",G20="infusing"),"Magical",IF(G20="blocking","Anti-Physical",IF(G20="warding","Anti-Magical","Physical"))))</f>
        <v/>
      </c>
      <c r="O20">
        <f>IF(F20&lt;&gt;"armor","","TBD")</f>
        <v/>
      </c>
      <c r="P20">
        <f>IF(O20="","",IF(OR(G20="channeling",G20="infusing"),"Magical",IF(G20="blocking","Anti-Physical",IF(G20="warding","Anti-Magical","Physical"))))</f>
        <v/>
      </c>
    </row>
    <row r="21">
      <c r="A21" t="inlineStr">
        <is>
          <t>ST20</t>
        </is>
      </c>
      <c r="B21" t="inlineStr">
        <is>
          <t>status_template</t>
        </is>
      </c>
      <c r="C21" t="inlineStr">
        <is>
          <t>tile</t>
        </is>
      </c>
      <c r="J21">
        <f>IF(G21="","",IFERROR(IF(G21="infusing",IFERROR(LOOKUP(2,1/ISNUMBER(SEARCH(_lookup!$D$3:$D$4,H21)),_lookup!$E$3:$E$4),"INT"),VLOOKUP(G21,_lookup!$A$3:$B$14,2,FALSE)),""))</f>
        <v/>
      </c>
      <c r="K21">
        <f>IF(F21&lt;&gt;"weapon","",IF(G21="miscellaneous","1-4",IF(I21="","",IFERROR(VLOOKUP(I21&amp;"|"&amp;IF(LEFT(H21,2)="2H",2,1)&amp;"|"&amp;IF(G21="slashing",1,0),_lookup!$G$3:$H$18,2,FALSE),""))))</f>
        <v/>
      </c>
      <c r="L21">
        <f>IF(K21="","",IF(OR(G21="channeling",G21="infusing"),"Magical",IF(G21="blocking","Anti-Physical",IF(G21="warding","Anti-Magical","Physical"))))</f>
        <v/>
      </c>
      <c r="O21">
        <f>IF(F21&lt;&gt;"armor","","TBD")</f>
        <v/>
      </c>
      <c r="P21">
        <f>IF(O21="","",IF(OR(G21="channeling",G21="infusing"),"Magical",IF(G21="blocking","Anti-Physical",IF(G21="warding","Anti-Magical","Physical"))))</f>
        <v/>
      </c>
    </row>
    <row r="22">
      <c r="A22" t="inlineStr">
        <is>
          <t>ST21</t>
        </is>
      </c>
      <c r="B22" t="inlineStr">
        <is>
          <t>status_template</t>
        </is>
      </c>
      <c r="C22" t="inlineStr">
        <is>
          <t>tile</t>
        </is>
      </c>
      <c r="J22">
        <f>IF(G22="","",IFERROR(IF(G22="infusing",IFERROR(LOOKUP(2,1/ISNUMBER(SEARCH(_lookup!$D$3:$D$4,H22)),_lookup!$E$3:$E$4),"INT"),VLOOKUP(G22,_lookup!$A$3:$B$14,2,FALSE)),""))</f>
        <v/>
      </c>
      <c r="K22">
        <f>IF(F22&lt;&gt;"weapon","",IF(G22="miscellaneous","1-4",IF(I22="","",IFERROR(VLOOKUP(I22&amp;"|"&amp;IF(LEFT(H22,2)="2H",2,1)&amp;"|"&amp;IF(G22="slashing",1,0),_lookup!$G$3:$H$18,2,FALSE),""))))</f>
        <v/>
      </c>
      <c r="L22">
        <f>IF(K22="","",IF(OR(G22="channeling",G22="infusing"),"Magical",IF(G22="blocking","Anti-Physical",IF(G22="warding","Anti-Magical","Physical"))))</f>
        <v/>
      </c>
      <c r="O22">
        <f>IF(F22&lt;&gt;"armor","","TBD")</f>
        <v/>
      </c>
      <c r="P22">
        <f>IF(O22="","",IF(OR(G22="channeling",G22="infusing"),"Magical",IF(G22="blocking","Anti-Physical",IF(G22="warding","Anti-Magical","Physical"))))</f>
        <v/>
      </c>
    </row>
    <row r="23">
      <c r="A23" t="inlineStr">
        <is>
          <t>ST22</t>
        </is>
      </c>
      <c r="B23" t="inlineStr">
        <is>
          <t>status_template</t>
        </is>
      </c>
      <c r="C23" t="inlineStr">
        <is>
          <t>tile</t>
        </is>
      </c>
      <c r="J23">
        <f>IF(G23="","",IFERROR(IF(G23="infusing",IFERROR(LOOKUP(2,1/ISNUMBER(SEARCH(_lookup!$D$3:$D$4,H23)),_lookup!$E$3:$E$4),"INT"),VLOOKUP(G23,_lookup!$A$3:$B$14,2,FALSE)),""))</f>
        <v/>
      </c>
      <c r="K23">
        <f>IF(F23&lt;&gt;"weapon","",IF(G23="miscellaneous","1-4",IF(I23="","",IFERROR(VLOOKUP(I23&amp;"|"&amp;IF(LEFT(H23,2)="2H",2,1)&amp;"|"&amp;IF(G23="slashing",1,0),_lookup!$G$3:$H$18,2,FALSE),""))))</f>
        <v/>
      </c>
      <c r="L23">
        <f>IF(K23="","",IF(OR(G23="channeling",G23="infusing"),"Magical",IF(G23="blocking","Anti-Physical",IF(G23="warding","Anti-Magical","Physical"))))</f>
        <v/>
      </c>
      <c r="O23">
        <f>IF(F23&lt;&gt;"armor","","TBD")</f>
        <v/>
      </c>
      <c r="P23">
        <f>IF(O23="","",IF(OR(G23="channeling",G23="infusing"),"Magical",IF(G23="blocking","Anti-Physical",IF(G23="warding","Anti-Magical","Physical"))))</f>
        <v/>
      </c>
    </row>
    <row r="24">
      <c r="A24" t="inlineStr">
        <is>
          <t>ST23</t>
        </is>
      </c>
      <c r="B24" t="inlineStr">
        <is>
          <t>status_template</t>
        </is>
      </c>
      <c r="C24" t="inlineStr">
        <is>
          <t>tile</t>
        </is>
      </c>
      <c r="J24">
        <f>IF(G24="","",IFERROR(IF(G24="infusing",IFERROR(LOOKUP(2,1/ISNUMBER(SEARCH(_lookup!$D$3:$D$4,H24)),_lookup!$E$3:$E$4),"INT"),VLOOKUP(G24,_lookup!$A$3:$B$14,2,FALSE)),""))</f>
        <v/>
      </c>
      <c r="K24">
        <f>IF(F24&lt;&gt;"weapon","",IF(G24="miscellaneous","1-4",IF(I24="","",IFERROR(VLOOKUP(I24&amp;"|"&amp;IF(LEFT(H24,2)="2H",2,1)&amp;"|"&amp;IF(G24="slashing",1,0),_lookup!$G$3:$H$18,2,FALSE),""))))</f>
        <v/>
      </c>
      <c r="L24">
        <f>IF(K24="","",IF(OR(G24="channeling",G24="infusing"),"Magical",IF(G24="blocking","Anti-Physical",IF(G24="warding","Anti-Magical","Physical"))))</f>
        <v/>
      </c>
      <c r="O24">
        <f>IF(F24&lt;&gt;"armor","","TBD")</f>
        <v/>
      </c>
      <c r="P24">
        <f>IF(O24="","",IF(OR(G24="channeling",G24="infusing"),"Magical",IF(G24="blocking","Anti-Physical",IF(G24="warding","Anti-Magical","Physical"))))</f>
        <v/>
      </c>
    </row>
    <row r="25">
      <c r="A25" t="inlineStr">
        <is>
          <t>ST24</t>
        </is>
      </c>
      <c r="B25" t="inlineStr">
        <is>
          <t>status_template</t>
        </is>
      </c>
      <c r="C25" t="inlineStr">
        <is>
          <t>tile</t>
        </is>
      </c>
      <c r="J25">
        <f>IF(G25="","",IFERROR(IF(G25="infusing",IFERROR(LOOKUP(2,1/ISNUMBER(SEARCH(_lookup!$D$3:$D$4,H25)),_lookup!$E$3:$E$4),"INT"),VLOOKUP(G25,_lookup!$A$3:$B$14,2,FALSE)),""))</f>
        <v/>
      </c>
      <c r="K25">
        <f>IF(F25&lt;&gt;"weapon","",IF(G25="miscellaneous","1-4",IF(I25="","",IFERROR(VLOOKUP(I25&amp;"|"&amp;IF(LEFT(H25,2)="2H",2,1)&amp;"|"&amp;IF(G25="slashing",1,0),_lookup!$G$3:$H$18,2,FALSE),""))))</f>
        <v/>
      </c>
      <c r="L25">
        <f>IF(K25="","",IF(OR(G25="channeling",G25="infusing"),"Magical",IF(G25="blocking","Anti-Physical",IF(G25="warding","Anti-Magical","Physical"))))</f>
        <v/>
      </c>
      <c r="O25">
        <f>IF(F25&lt;&gt;"armor","","TBD")</f>
        <v/>
      </c>
      <c r="P25">
        <f>IF(O25="","",IF(OR(G25="channeling",G25="infusing"),"Magical",IF(G25="blocking","Anti-Physical",IF(G25="warding","Anti-Magical","Physical"))))</f>
        <v/>
      </c>
    </row>
    <row r="26">
      <c r="A26" t="inlineStr">
        <is>
          <t>ST25</t>
        </is>
      </c>
      <c r="B26" t="inlineStr">
        <is>
          <t>status_template</t>
        </is>
      </c>
      <c r="C26" t="inlineStr">
        <is>
          <t>tile</t>
        </is>
      </c>
      <c r="J26">
        <f>IF(G26="","",IFERROR(IF(G26="infusing",IFERROR(LOOKUP(2,1/ISNUMBER(SEARCH(_lookup!$D$3:$D$4,H26)),_lookup!$E$3:$E$4),"INT"),VLOOKUP(G26,_lookup!$A$3:$B$14,2,FALSE)),""))</f>
        <v/>
      </c>
      <c r="K26">
        <f>IF(F26&lt;&gt;"weapon","",IF(G26="miscellaneous","1-4",IF(I26="","",IFERROR(VLOOKUP(I26&amp;"|"&amp;IF(LEFT(H26,2)="2H",2,1)&amp;"|"&amp;IF(G26="slashing",1,0),_lookup!$G$3:$H$18,2,FALSE),""))))</f>
        <v/>
      </c>
      <c r="L26">
        <f>IF(K26="","",IF(OR(G26="channeling",G26="infusing"),"Magical",IF(G26="blocking","Anti-Physical",IF(G26="warding","Anti-Magical","Physical"))))</f>
        <v/>
      </c>
      <c r="O26">
        <f>IF(F26&lt;&gt;"armor","","TBD")</f>
        <v/>
      </c>
      <c r="P26">
        <f>IF(O26="","",IF(OR(G26="channeling",G26="infusing"),"Magical",IF(G26="blocking","Anti-Physical",IF(G26="warding","Anti-Magical","Physical"))))</f>
        <v/>
      </c>
    </row>
    <row r="27">
      <c r="A27" t="inlineStr">
        <is>
          <t>ST26</t>
        </is>
      </c>
      <c r="B27" t="inlineStr">
        <is>
          <t>status_template</t>
        </is>
      </c>
      <c r="C27" t="inlineStr">
        <is>
          <t>tile</t>
        </is>
      </c>
      <c r="J27">
        <f>IF(G27="","",IFERROR(IF(G27="infusing",IFERROR(LOOKUP(2,1/ISNUMBER(SEARCH(_lookup!$D$3:$D$4,H27)),_lookup!$E$3:$E$4),"INT"),VLOOKUP(G27,_lookup!$A$3:$B$14,2,FALSE)),""))</f>
        <v/>
      </c>
      <c r="K27">
        <f>IF(F27&lt;&gt;"weapon","",IF(G27="miscellaneous","1-4",IF(I27="","",IFERROR(VLOOKUP(I27&amp;"|"&amp;IF(LEFT(H27,2)="2H",2,1)&amp;"|"&amp;IF(G27="slashing",1,0),_lookup!$G$3:$H$18,2,FALSE),""))))</f>
        <v/>
      </c>
      <c r="L27">
        <f>IF(K27="","",IF(OR(G27="channeling",G27="infusing"),"Magical",IF(G27="blocking","Anti-Physical",IF(G27="warding","Anti-Magical","Physical"))))</f>
        <v/>
      </c>
      <c r="O27">
        <f>IF(F27&lt;&gt;"armor","","TBD")</f>
        <v/>
      </c>
      <c r="P27">
        <f>IF(O27="","",IF(OR(G27="channeling",G27="infusing"),"Magical",IF(G27="blocking","Anti-Physical",IF(G27="warding","Anti-Magical","Physical"))))</f>
        <v/>
      </c>
    </row>
    <row r="28">
      <c r="A28" t="inlineStr">
        <is>
          <t>ST27</t>
        </is>
      </c>
      <c r="B28" t="inlineStr">
        <is>
          <t>status_template</t>
        </is>
      </c>
      <c r="C28" t="inlineStr">
        <is>
          <t>tile</t>
        </is>
      </c>
      <c r="J28">
        <f>IF(G28="","",IFERROR(IF(G28="infusing",IFERROR(LOOKUP(2,1/ISNUMBER(SEARCH(_lookup!$D$3:$D$4,H28)),_lookup!$E$3:$E$4),"INT"),VLOOKUP(G28,_lookup!$A$3:$B$14,2,FALSE)),""))</f>
        <v/>
      </c>
      <c r="K28">
        <f>IF(F28&lt;&gt;"weapon","",IF(G28="miscellaneous","1-4",IF(I28="","",IFERROR(VLOOKUP(I28&amp;"|"&amp;IF(LEFT(H28,2)="2H",2,1)&amp;"|"&amp;IF(G28="slashing",1,0),_lookup!$G$3:$H$18,2,FALSE),""))))</f>
        <v/>
      </c>
      <c r="L28">
        <f>IF(K28="","",IF(OR(G28="channeling",G28="infusing"),"Magical",IF(G28="blocking","Anti-Physical",IF(G28="warding","Anti-Magical","Physical"))))</f>
        <v/>
      </c>
      <c r="O28">
        <f>IF(F28&lt;&gt;"armor","","TBD")</f>
        <v/>
      </c>
      <c r="P28">
        <f>IF(O28="","",IF(OR(G28="channeling",G28="infusing"),"Magical",IF(G28="blocking","Anti-Physical",IF(G28="warding","Anti-Magical","Physical"))))</f>
        <v/>
      </c>
    </row>
    <row r="29">
      <c r="A29" t="inlineStr">
        <is>
          <t>ST28</t>
        </is>
      </c>
      <c r="B29" t="inlineStr">
        <is>
          <t>status_template</t>
        </is>
      </c>
      <c r="C29" t="inlineStr">
        <is>
          <t>tile</t>
        </is>
      </c>
      <c r="J29">
        <f>IF(G29="","",IFERROR(IF(G29="infusing",IFERROR(LOOKUP(2,1/ISNUMBER(SEARCH(_lookup!$D$3:$D$4,H29)),_lookup!$E$3:$E$4),"INT"),VLOOKUP(G29,_lookup!$A$3:$B$14,2,FALSE)),""))</f>
        <v/>
      </c>
      <c r="K29">
        <f>IF(F29&lt;&gt;"weapon","",IF(G29="miscellaneous","1-4",IF(I29="","",IFERROR(VLOOKUP(I29&amp;"|"&amp;IF(LEFT(H29,2)="2H",2,1)&amp;"|"&amp;IF(G29="slashing",1,0),_lookup!$G$3:$H$18,2,FALSE),""))))</f>
        <v/>
      </c>
      <c r="L29">
        <f>IF(K29="","",IF(OR(G29="channeling",G29="infusing"),"Magical",IF(G29="blocking","Anti-Physical",IF(G29="warding","Anti-Magical","Physical"))))</f>
        <v/>
      </c>
      <c r="O29">
        <f>IF(F29&lt;&gt;"armor","","TBD")</f>
        <v/>
      </c>
      <c r="P29">
        <f>IF(O29="","",IF(OR(G29="channeling",G29="infusing"),"Magical",IF(G29="blocking","Anti-Physical",IF(G29="warding","Anti-Magical","Physical"))))</f>
        <v/>
      </c>
    </row>
    <row r="30">
      <c r="A30" t="inlineStr">
        <is>
          <t>ST29</t>
        </is>
      </c>
      <c r="B30" t="inlineStr">
        <is>
          <t>status_template</t>
        </is>
      </c>
      <c r="C30" t="inlineStr">
        <is>
          <t>tile</t>
        </is>
      </c>
      <c r="J30">
        <f>IF(G30="","",IFERROR(IF(G30="infusing",IFERROR(LOOKUP(2,1/ISNUMBER(SEARCH(_lookup!$D$3:$D$4,H30)),_lookup!$E$3:$E$4),"INT"),VLOOKUP(G30,_lookup!$A$3:$B$14,2,FALSE)),""))</f>
        <v/>
      </c>
      <c r="K30">
        <f>IF(F30&lt;&gt;"weapon","",IF(G30="miscellaneous","1-4",IF(I30="","",IFERROR(VLOOKUP(I30&amp;"|"&amp;IF(LEFT(H30,2)="2H",2,1)&amp;"|"&amp;IF(G30="slashing",1,0),_lookup!$G$3:$H$18,2,FALSE),""))))</f>
        <v/>
      </c>
      <c r="L30">
        <f>IF(K30="","",IF(OR(G30="channeling",G30="infusing"),"Magical",IF(G30="blocking","Anti-Physical",IF(G30="warding","Anti-Magical","Physical"))))</f>
        <v/>
      </c>
      <c r="O30">
        <f>IF(F30&lt;&gt;"armor","","TBD")</f>
        <v/>
      </c>
      <c r="P30">
        <f>IF(O30="","",IF(OR(G30="channeling",G30="infusing"),"Magical",IF(G30="blocking","Anti-Physical",IF(G30="warding","Anti-Magical","Physical"))))</f>
        <v/>
      </c>
    </row>
    <row r="31">
      <c r="A31" t="inlineStr">
        <is>
          <t>ST30</t>
        </is>
      </c>
      <c r="B31" t="inlineStr">
        <is>
          <t>status_template</t>
        </is>
      </c>
      <c r="C31" t="inlineStr">
        <is>
          <t>tile</t>
        </is>
      </c>
      <c r="J31">
        <f>IF(G31="","",IFERROR(IF(G31="infusing",IFERROR(LOOKUP(2,1/ISNUMBER(SEARCH(_lookup!$D$3:$D$4,H31)),_lookup!$E$3:$E$4),"INT"),VLOOKUP(G31,_lookup!$A$3:$B$14,2,FALSE)),""))</f>
        <v/>
      </c>
      <c r="K31">
        <f>IF(F31&lt;&gt;"weapon","",IF(G31="miscellaneous","1-4",IF(I31="","",IFERROR(VLOOKUP(I31&amp;"|"&amp;IF(LEFT(H31,2)="2H",2,1)&amp;"|"&amp;IF(G31="slashing",1,0),_lookup!$G$3:$H$18,2,FALSE),""))))</f>
        <v/>
      </c>
      <c r="L31">
        <f>IF(K31="","",IF(OR(G31="channeling",G31="infusing"),"Magical",IF(G31="blocking","Anti-Physical",IF(G31="warding","Anti-Magical","Physical"))))</f>
        <v/>
      </c>
      <c r="O31">
        <f>IF(F31&lt;&gt;"armor","","TBD")</f>
        <v/>
      </c>
      <c r="P31">
        <f>IF(O31="","",IF(OR(G31="channeling",G31="infusing"),"Magical",IF(G31="blocking","Anti-Physical",IF(G31="warding","Anti-Magical","Physical"))))</f>
        <v/>
      </c>
    </row>
    <row r="32">
      <c r="A32" t="inlineStr">
        <is>
          <t>ST31</t>
        </is>
      </c>
      <c r="B32" t="inlineStr">
        <is>
          <t>status_template</t>
        </is>
      </c>
      <c r="C32" t="inlineStr">
        <is>
          <t>tile</t>
        </is>
      </c>
      <c r="J32">
        <f>IF(G32="","",IFERROR(IF(G32="infusing",IFERROR(LOOKUP(2,1/ISNUMBER(SEARCH(_lookup!$D$3:$D$4,H32)),_lookup!$E$3:$E$4),"INT"),VLOOKUP(G32,_lookup!$A$3:$B$14,2,FALSE)),""))</f>
        <v/>
      </c>
      <c r="K32">
        <f>IF(F32&lt;&gt;"weapon","",IF(G32="miscellaneous","1-4",IF(I32="","",IFERROR(VLOOKUP(I32&amp;"|"&amp;IF(LEFT(H32,2)="2H",2,1)&amp;"|"&amp;IF(G32="slashing",1,0),_lookup!$G$3:$H$18,2,FALSE),""))))</f>
        <v/>
      </c>
      <c r="L32">
        <f>IF(K32="","",IF(OR(G32="channeling",G32="infusing"),"Magical",IF(G32="blocking","Anti-Physical",IF(G32="warding","Anti-Magical","Physical"))))</f>
        <v/>
      </c>
      <c r="O32">
        <f>IF(F32&lt;&gt;"armor","","TBD")</f>
        <v/>
      </c>
      <c r="P32">
        <f>IF(O32="","",IF(OR(G32="channeling",G32="infusing"),"Magical",IF(G32="blocking","Anti-Physical",IF(G32="warding","Anti-Magical","Physical"))))</f>
        <v/>
      </c>
    </row>
    <row r="33">
      <c r="A33" t="inlineStr">
        <is>
          <t>ST32</t>
        </is>
      </c>
      <c r="B33" t="inlineStr">
        <is>
          <t>status_template</t>
        </is>
      </c>
      <c r="C33" t="inlineStr">
        <is>
          <t>tile</t>
        </is>
      </c>
      <c r="J33">
        <f>IF(G33="","",IFERROR(IF(G33="infusing",IFERROR(LOOKUP(2,1/ISNUMBER(SEARCH(_lookup!$D$3:$D$4,H33)),_lookup!$E$3:$E$4),"INT"),VLOOKUP(G33,_lookup!$A$3:$B$14,2,FALSE)),""))</f>
        <v/>
      </c>
      <c r="K33">
        <f>IF(F33&lt;&gt;"weapon","",IF(G33="miscellaneous","1-4",IF(I33="","",IFERROR(VLOOKUP(I33&amp;"|"&amp;IF(LEFT(H33,2)="2H",2,1)&amp;"|"&amp;IF(G33="slashing",1,0),_lookup!$G$3:$H$18,2,FALSE),""))))</f>
        <v/>
      </c>
      <c r="L33">
        <f>IF(K33="","",IF(OR(G33="channeling",G33="infusing"),"Magical",IF(G33="blocking","Anti-Physical",IF(G33="warding","Anti-Magical","Physical"))))</f>
        <v/>
      </c>
      <c r="O33">
        <f>IF(F33&lt;&gt;"armor","","TBD")</f>
        <v/>
      </c>
      <c r="P33">
        <f>IF(O33="","",IF(OR(G33="channeling",G33="infusing"),"Magical",IF(G33="blocking","Anti-Physical",IF(G33="warding","Anti-Magical","Physical"))))</f>
        <v/>
      </c>
    </row>
    <row r="34">
      <c r="A34" t="inlineStr">
        <is>
          <t>ST33</t>
        </is>
      </c>
      <c r="B34" t="inlineStr">
        <is>
          <t>status_template</t>
        </is>
      </c>
      <c r="C34" t="inlineStr">
        <is>
          <t>tile</t>
        </is>
      </c>
      <c r="J34">
        <f>IF(G34="","",IFERROR(IF(G34="infusing",IFERROR(LOOKUP(2,1/ISNUMBER(SEARCH(_lookup!$D$3:$D$4,H34)),_lookup!$E$3:$E$4),"INT"),VLOOKUP(G34,_lookup!$A$3:$B$14,2,FALSE)),""))</f>
        <v/>
      </c>
      <c r="K34">
        <f>IF(F34&lt;&gt;"weapon","",IF(G34="miscellaneous","1-4",IF(I34="","",IFERROR(VLOOKUP(I34&amp;"|"&amp;IF(LEFT(H34,2)="2H",2,1)&amp;"|"&amp;IF(G34="slashing",1,0),_lookup!$G$3:$H$18,2,FALSE),""))))</f>
        <v/>
      </c>
      <c r="L34">
        <f>IF(K34="","",IF(OR(G34="channeling",G34="infusing"),"Magical",IF(G34="blocking","Anti-Physical",IF(G34="warding","Anti-Magical","Physical"))))</f>
        <v/>
      </c>
      <c r="O34">
        <f>IF(F34&lt;&gt;"armor","","TBD")</f>
        <v/>
      </c>
      <c r="P34">
        <f>IF(O34="","",IF(OR(G34="channeling",G34="infusing"),"Magical",IF(G34="blocking","Anti-Physical",IF(G34="warding","Anti-Magical","Physical"))))</f>
        <v/>
      </c>
    </row>
    <row r="35">
      <c r="A35" t="inlineStr">
        <is>
          <t>ST34</t>
        </is>
      </c>
      <c r="B35" t="inlineStr">
        <is>
          <t>status_template</t>
        </is>
      </c>
      <c r="C35" t="inlineStr">
        <is>
          <t>tile</t>
        </is>
      </c>
      <c r="J35">
        <f>IF(G35="","",IFERROR(IF(G35="infusing",IFERROR(LOOKUP(2,1/ISNUMBER(SEARCH(_lookup!$D$3:$D$4,H35)),_lookup!$E$3:$E$4),"INT"),VLOOKUP(G35,_lookup!$A$3:$B$14,2,FALSE)),""))</f>
        <v/>
      </c>
      <c r="K35">
        <f>IF(F35&lt;&gt;"weapon","",IF(G35="miscellaneous","1-4",IF(I35="","",IFERROR(VLOOKUP(I35&amp;"|"&amp;IF(LEFT(H35,2)="2H",2,1)&amp;"|"&amp;IF(G35="slashing",1,0),_lookup!$G$3:$H$18,2,FALSE),""))))</f>
        <v/>
      </c>
      <c r="L35">
        <f>IF(K35="","",IF(OR(G35="channeling",G35="infusing"),"Magical",IF(G35="blocking","Anti-Physical",IF(G35="warding","Anti-Magical","Physical"))))</f>
        <v/>
      </c>
      <c r="O35">
        <f>IF(F35&lt;&gt;"armor","","TBD")</f>
        <v/>
      </c>
      <c r="P35">
        <f>IF(O35="","",IF(OR(G35="channeling",G35="infusing"),"Magical",IF(G35="blocking","Anti-Physical",IF(G35="warding","Anti-Magical","Physical"))))</f>
        <v/>
      </c>
    </row>
    <row r="36">
      <c r="A36" t="inlineStr">
        <is>
          <t>ST35</t>
        </is>
      </c>
      <c r="B36" t="inlineStr">
        <is>
          <t>status_template</t>
        </is>
      </c>
      <c r="C36" t="inlineStr">
        <is>
          <t>tile</t>
        </is>
      </c>
      <c r="J36">
        <f>IF(G36="","",IFERROR(IF(G36="infusing",IFERROR(LOOKUP(2,1/ISNUMBER(SEARCH(_lookup!$D$3:$D$4,H36)),_lookup!$E$3:$E$4),"INT"),VLOOKUP(G36,_lookup!$A$3:$B$14,2,FALSE)),""))</f>
        <v/>
      </c>
      <c r="K36">
        <f>IF(F36&lt;&gt;"weapon","",IF(G36="miscellaneous","1-4",IF(I36="","",IFERROR(VLOOKUP(I36&amp;"|"&amp;IF(LEFT(H36,2)="2H",2,1)&amp;"|"&amp;IF(G36="slashing",1,0),_lookup!$G$3:$H$18,2,FALSE),""))))</f>
        <v/>
      </c>
      <c r="L36">
        <f>IF(K36="","",IF(OR(G36="channeling",G36="infusing"),"Magical",IF(G36="blocking","Anti-Physical",IF(G36="warding","Anti-Magical","Physical"))))</f>
        <v/>
      </c>
      <c r="O36">
        <f>IF(F36&lt;&gt;"armor","","TBD")</f>
        <v/>
      </c>
      <c r="P36">
        <f>IF(O36="","",IF(OR(G36="channeling",G36="infusing"),"Magical",IF(G36="blocking","Anti-Physical",IF(G36="warding","Anti-Magical","Physical"))))</f>
        <v/>
      </c>
    </row>
    <row r="37">
      <c r="A37" t="inlineStr">
        <is>
          <t>ST36</t>
        </is>
      </c>
      <c r="B37" t="inlineStr">
        <is>
          <t>status_template</t>
        </is>
      </c>
      <c r="C37" t="inlineStr">
        <is>
          <t>tile</t>
        </is>
      </c>
      <c r="J37">
        <f>IF(G37="","",IFERROR(IF(G37="infusing",IFERROR(LOOKUP(2,1/ISNUMBER(SEARCH(_lookup!$D$3:$D$4,H37)),_lookup!$E$3:$E$4),"INT"),VLOOKUP(G37,_lookup!$A$3:$B$14,2,FALSE)),""))</f>
        <v/>
      </c>
      <c r="K37">
        <f>IF(F37&lt;&gt;"weapon","",IF(G37="miscellaneous","1-4",IF(I37="","",IFERROR(VLOOKUP(I37&amp;"|"&amp;IF(LEFT(H37,2)="2H",2,1)&amp;"|"&amp;IF(G37="slashing",1,0),_lookup!$G$3:$H$18,2,FALSE),""))))</f>
        <v/>
      </c>
      <c r="L37">
        <f>IF(K37="","",IF(OR(G37="channeling",G37="infusing"),"Magical",IF(G37="blocking","Anti-Physical",IF(G37="warding","Anti-Magical","Physical"))))</f>
        <v/>
      </c>
      <c r="O37">
        <f>IF(F37&lt;&gt;"armor","","TBD")</f>
        <v/>
      </c>
      <c r="P37">
        <f>IF(O37="","",IF(OR(G37="channeling",G37="infusing"),"Magical",IF(G37="blocking","Anti-Physical",IF(G37="warding","Anti-Magical","Physical"))))</f>
        <v/>
      </c>
    </row>
    <row r="38">
      <c r="A38" t="inlineStr">
        <is>
          <t>ST37</t>
        </is>
      </c>
      <c r="B38" t="inlineStr">
        <is>
          <t>status_template</t>
        </is>
      </c>
      <c r="C38" t="inlineStr">
        <is>
          <t>tile</t>
        </is>
      </c>
      <c r="J38">
        <f>IF(G38="","",IFERROR(IF(G38="infusing",IFERROR(LOOKUP(2,1/ISNUMBER(SEARCH(_lookup!$D$3:$D$4,H38)),_lookup!$E$3:$E$4),"INT"),VLOOKUP(G38,_lookup!$A$3:$B$14,2,FALSE)),""))</f>
        <v/>
      </c>
      <c r="K38">
        <f>IF(F38&lt;&gt;"weapon","",IF(G38="miscellaneous","1-4",IF(I38="","",IFERROR(VLOOKUP(I38&amp;"|"&amp;IF(LEFT(H38,2)="2H",2,1)&amp;"|"&amp;IF(G38="slashing",1,0),_lookup!$G$3:$H$18,2,FALSE),""))))</f>
        <v/>
      </c>
      <c r="L38">
        <f>IF(K38="","",IF(OR(G38="channeling",G38="infusing"),"Magical",IF(G38="blocking","Anti-Physical",IF(G38="warding","Anti-Magical","Physical"))))</f>
        <v/>
      </c>
      <c r="O38">
        <f>IF(F38&lt;&gt;"armor","","TBD")</f>
        <v/>
      </c>
      <c r="P38">
        <f>IF(O38="","",IF(OR(G38="channeling",G38="infusing"),"Magical",IF(G38="blocking","Anti-Physical",IF(G38="warding","Anti-Magical","Physical"))))</f>
        <v/>
      </c>
    </row>
    <row r="39">
      <c r="A39" t="inlineStr">
        <is>
          <t>ST38</t>
        </is>
      </c>
      <c r="B39" t="inlineStr">
        <is>
          <t>status_template</t>
        </is>
      </c>
      <c r="C39" t="inlineStr">
        <is>
          <t>tile</t>
        </is>
      </c>
      <c r="J39">
        <f>IF(G39="","",IFERROR(IF(G39="infusing",IFERROR(LOOKUP(2,1/ISNUMBER(SEARCH(_lookup!$D$3:$D$4,H39)),_lookup!$E$3:$E$4),"INT"),VLOOKUP(G39,_lookup!$A$3:$B$14,2,FALSE)),""))</f>
        <v/>
      </c>
      <c r="K39">
        <f>IF(F39&lt;&gt;"weapon","",IF(G39="miscellaneous","1-4",IF(I39="","",IFERROR(VLOOKUP(I39&amp;"|"&amp;IF(LEFT(H39,2)="2H",2,1)&amp;"|"&amp;IF(G39="slashing",1,0),_lookup!$G$3:$H$18,2,FALSE),""))))</f>
        <v/>
      </c>
      <c r="L39">
        <f>IF(K39="","",IF(OR(G39="channeling",G39="infusing"),"Magical",IF(G39="blocking","Anti-Physical",IF(G39="warding","Anti-Magical","Physical"))))</f>
        <v/>
      </c>
      <c r="O39">
        <f>IF(F39&lt;&gt;"armor","","TBD")</f>
        <v/>
      </c>
      <c r="P39">
        <f>IF(O39="","",IF(OR(G39="channeling",G39="infusing"),"Magical",IF(G39="blocking","Anti-Physical",IF(G39="warding","Anti-Magical","Physical"))))</f>
        <v/>
      </c>
    </row>
    <row r="40">
      <c r="A40" t="inlineStr">
        <is>
          <t>ST39</t>
        </is>
      </c>
      <c r="B40" t="inlineStr">
        <is>
          <t>status_template</t>
        </is>
      </c>
      <c r="C40" t="inlineStr">
        <is>
          <t>tile</t>
        </is>
      </c>
      <c r="J40">
        <f>IF(G40="","",IFERROR(IF(G40="infusing",IFERROR(LOOKUP(2,1/ISNUMBER(SEARCH(_lookup!$D$3:$D$4,H40)),_lookup!$E$3:$E$4),"INT"),VLOOKUP(G40,_lookup!$A$3:$B$14,2,FALSE)),""))</f>
        <v/>
      </c>
      <c r="K40">
        <f>IF(F40&lt;&gt;"weapon","",IF(G40="miscellaneous","1-4",IF(I40="","",IFERROR(VLOOKUP(I40&amp;"|"&amp;IF(LEFT(H40,2)="2H",2,1)&amp;"|"&amp;IF(G40="slashing",1,0),_lookup!$G$3:$H$18,2,FALSE),""))))</f>
        <v/>
      </c>
      <c r="L40">
        <f>IF(K40="","",IF(OR(G40="channeling",G40="infusing"),"Magical",IF(G40="blocking","Anti-Physical",IF(G40="warding","Anti-Magical","Physical"))))</f>
        <v/>
      </c>
      <c r="O40">
        <f>IF(F40&lt;&gt;"armor","","TBD")</f>
        <v/>
      </c>
      <c r="P40">
        <f>IF(O40="","",IF(OR(G40="channeling",G40="infusing"),"Magical",IF(G40="blocking","Anti-Physical",IF(G40="warding","Anti-Magical","Physical"))))</f>
        <v/>
      </c>
    </row>
    <row r="41">
      <c r="J41">
        <f>IF(G41="","",IFERROR(IF(G41="infusing",IFERROR(LOOKUP(2,1/ISNUMBER(SEARCH(_lookup!$D$3:$D$4,H41)),_lookup!$E$3:$E$4),"INT"),VLOOKUP(G41,_lookup!$A$3:$B$14,2,FALSE)),""))</f>
        <v/>
      </c>
      <c r="K41">
        <f>IF(F41&lt;&gt;"weapon","",IF(G41="miscellaneous","1-4",IF(I41="","",IFERROR(VLOOKUP(I41&amp;"|"&amp;IF(LEFT(H41,2)="2H",2,1)&amp;"|"&amp;IF(G41="slashing",1,0),_lookup!$G$3:$H$18,2,FALSE),""))))</f>
        <v/>
      </c>
      <c r="L41">
        <f>IF(K41="","",IF(OR(G41="channeling",G41="infusing"),"Magical",IF(G41="blocking","Anti-Physical",IF(G41="warding","Anti-Magical","Physical"))))</f>
        <v/>
      </c>
      <c r="O41">
        <f>IF(F41&lt;&gt;"armor","","TBD")</f>
        <v/>
      </c>
      <c r="P41">
        <f>IF(O41="","",IF(OR(G41="channeling",G41="infusing"),"Magical",IF(G41="blocking","Anti-Physical",IF(G41="warding","Anti-Magical","Physical"))))</f>
        <v/>
      </c>
    </row>
    <row r="42">
      <c r="J42">
        <f>IF(G42="","",IFERROR(IF(G42="infusing",IFERROR(LOOKUP(2,1/ISNUMBER(SEARCH(_lookup!$D$3:$D$4,H42)),_lookup!$E$3:$E$4),"INT"),VLOOKUP(G42,_lookup!$A$3:$B$14,2,FALSE)),""))</f>
        <v/>
      </c>
      <c r="K42">
        <f>IF(F42&lt;&gt;"weapon","",IF(G42="miscellaneous","1-4",IF(I42="","",IFERROR(VLOOKUP(I42&amp;"|"&amp;IF(LEFT(H42,2)="2H",2,1)&amp;"|"&amp;IF(G42="slashing",1,0),_lookup!$G$3:$H$18,2,FALSE),""))))</f>
        <v/>
      </c>
      <c r="L42">
        <f>IF(K42="","",IF(OR(G42="channeling",G42="infusing"),"Magical",IF(G42="blocking","Anti-Physical",IF(G42="warding","Anti-Magical","Physical"))))</f>
        <v/>
      </c>
      <c r="O42">
        <f>IF(F42&lt;&gt;"armor","","TBD")</f>
        <v/>
      </c>
      <c r="P42">
        <f>IF(O42="","",IF(OR(G42="channeling",G42="infusing"),"Magical",IF(G42="blocking","Anti-Physical",IF(G42="warding","Anti-Magical","Physical"))))</f>
        <v/>
      </c>
    </row>
    <row r="43">
      <c r="J43">
        <f>IF(G43="","",IFERROR(IF(G43="infusing",IFERROR(LOOKUP(2,1/ISNUMBER(SEARCH(_lookup!$D$3:$D$4,H43)),_lookup!$E$3:$E$4),"INT"),VLOOKUP(G43,_lookup!$A$3:$B$14,2,FALSE)),""))</f>
        <v/>
      </c>
      <c r="K43">
        <f>IF(F43&lt;&gt;"weapon","",IF(G43="miscellaneous","1-4",IF(I43="","",IFERROR(VLOOKUP(I43&amp;"|"&amp;IF(LEFT(H43,2)="2H",2,1)&amp;"|"&amp;IF(G43="slashing",1,0),_lookup!$G$3:$H$18,2,FALSE),""))))</f>
        <v/>
      </c>
      <c r="L43">
        <f>IF(K43="","",IF(OR(G43="channeling",G43="infusing"),"Magical",IF(G43="blocking","Anti-Physical",IF(G43="warding","Anti-Magical","Physical"))))</f>
        <v/>
      </c>
      <c r="O43">
        <f>IF(F43&lt;&gt;"armor","","TBD")</f>
        <v/>
      </c>
      <c r="P43">
        <f>IF(O43="","",IF(OR(G43="channeling",G43="infusing"),"Magical",IF(G43="blocking","Anti-Physical",IF(G43="warding","Anti-Magical","Physical"))))</f>
        <v/>
      </c>
    </row>
    <row r="44">
      <c r="J44">
        <f>IF(G44="","",IFERROR(IF(G44="infusing",IFERROR(LOOKUP(2,1/ISNUMBER(SEARCH(_lookup!$D$3:$D$4,H44)),_lookup!$E$3:$E$4),"INT"),VLOOKUP(G44,_lookup!$A$3:$B$14,2,FALSE)),""))</f>
        <v/>
      </c>
      <c r="K44">
        <f>IF(F44&lt;&gt;"weapon","",IF(G44="miscellaneous","1-4",IF(I44="","",IFERROR(VLOOKUP(I44&amp;"|"&amp;IF(LEFT(H44,2)="2H",2,1)&amp;"|"&amp;IF(G44="slashing",1,0),_lookup!$G$3:$H$18,2,FALSE),""))))</f>
        <v/>
      </c>
      <c r="L44">
        <f>IF(K44="","",IF(OR(G44="channeling",G44="infusing"),"Magical",IF(G44="blocking","Anti-Physical",IF(G44="warding","Anti-Magical","Physical"))))</f>
        <v/>
      </c>
      <c r="O44">
        <f>IF(F44&lt;&gt;"armor","","TBD")</f>
        <v/>
      </c>
      <c r="P44">
        <f>IF(O44="","",IF(OR(G44="channeling",G44="infusing"),"Magical",IF(G44="blocking","Anti-Physical",IF(G44="warding","Anti-Magical","Physical"))))</f>
        <v/>
      </c>
    </row>
    <row r="45">
      <c r="J45">
        <f>IF(G45="","",IFERROR(IF(G45="infusing",IFERROR(LOOKUP(2,1/ISNUMBER(SEARCH(_lookup!$D$3:$D$4,H45)),_lookup!$E$3:$E$4),"INT"),VLOOKUP(G45,_lookup!$A$3:$B$14,2,FALSE)),""))</f>
        <v/>
      </c>
      <c r="K45">
        <f>IF(F45&lt;&gt;"weapon","",IF(G45="miscellaneous","1-4",IF(I45="","",IFERROR(VLOOKUP(I45&amp;"|"&amp;IF(LEFT(H45,2)="2H",2,1)&amp;"|"&amp;IF(G45="slashing",1,0),_lookup!$G$3:$H$18,2,FALSE),""))))</f>
        <v/>
      </c>
      <c r="L45">
        <f>IF(K45="","",IF(OR(G45="channeling",G45="infusing"),"Magical",IF(G45="blocking","Anti-Physical",IF(G45="warding","Anti-Magical","Physical"))))</f>
        <v/>
      </c>
      <c r="O45">
        <f>IF(F45&lt;&gt;"armor","","TBD")</f>
        <v/>
      </c>
      <c r="P45">
        <f>IF(O45="","",IF(OR(G45="channeling",G45="infusing"),"Magical",IF(G45="blocking","Anti-Physical",IF(G45="warding","Anti-Magical","Physical"))))</f>
        <v/>
      </c>
    </row>
    <row r="46">
      <c r="J46">
        <f>IF(G46="","",IFERROR(IF(G46="infusing",IFERROR(LOOKUP(2,1/ISNUMBER(SEARCH(_lookup!$D$3:$D$4,H46)),_lookup!$E$3:$E$4),"INT"),VLOOKUP(G46,_lookup!$A$3:$B$14,2,FALSE)),""))</f>
        <v/>
      </c>
      <c r="K46">
        <f>IF(F46&lt;&gt;"weapon","",IF(G46="miscellaneous","1-4",IF(I46="","",IFERROR(VLOOKUP(I46&amp;"|"&amp;IF(LEFT(H46,2)="2H",2,1)&amp;"|"&amp;IF(G46="slashing",1,0),_lookup!$G$3:$H$18,2,FALSE),""))))</f>
        <v/>
      </c>
      <c r="L46">
        <f>IF(K46="","",IF(OR(G46="channeling",G46="infusing"),"Magical",IF(G46="blocking","Anti-Physical",IF(G46="warding","Anti-Magical","Physical"))))</f>
        <v/>
      </c>
      <c r="O46">
        <f>IF(F46&lt;&gt;"armor","","TBD")</f>
        <v/>
      </c>
      <c r="P46">
        <f>IF(O46="","",IF(OR(G46="channeling",G46="infusing"),"Magical",IF(G46="blocking","Anti-Physical",IF(G46="warding","Anti-Magical","Physical"))))</f>
        <v/>
      </c>
    </row>
    <row r="47">
      <c r="J47">
        <f>IF(G47="","",IFERROR(IF(G47="infusing",IFERROR(LOOKUP(2,1/ISNUMBER(SEARCH(_lookup!$D$3:$D$4,H47)),_lookup!$E$3:$E$4),"INT"),VLOOKUP(G47,_lookup!$A$3:$B$14,2,FALSE)),""))</f>
        <v/>
      </c>
      <c r="K47">
        <f>IF(F47&lt;&gt;"weapon","",IF(G47="miscellaneous","1-4",IF(I47="","",IFERROR(VLOOKUP(I47&amp;"|"&amp;IF(LEFT(H47,2)="2H",2,1)&amp;"|"&amp;IF(G47="slashing",1,0),_lookup!$G$3:$H$18,2,FALSE),""))))</f>
        <v/>
      </c>
      <c r="L47">
        <f>IF(K47="","",IF(OR(G47="channeling",G47="infusing"),"Magical",IF(G47="blocking","Anti-Physical",IF(G47="warding","Anti-Magical","Physical"))))</f>
        <v/>
      </c>
      <c r="O47">
        <f>IF(F47&lt;&gt;"armor","","TBD")</f>
        <v/>
      </c>
      <c r="P47">
        <f>IF(O47="","",IF(OR(G47="channeling",G47="infusing"),"Magical",IF(G47="blocking","Anti-Physical",IF(G47="warding","Anti-Magical","Physical"))))</f>
        <v/>
      </c>
    </row>
    <row r="48">
      <c r="J48">
        <f>IF(G48="","",IFERROR(IF(G48="infusing",IFERROR(LOOKUP(2,1/ISNUMBER(SEARCH(_lookup!$D$3:$D$4,H48)),_lookup!$E$3:$E$4),"INT"),VLOOKUP(G48,_lookup!$A$3:$B$14,2,FALSE)),""))</f>
        <v/>
      </c>
      <c r="K48">
        <f>IF(F48&lt;&gt;"weapon","",IF(G48="miscellaneous","1-4",IF(I48="","",IFERROR(VLOOKUP(I48&amp;"|"&amp;IF(LEFT(H48,2)="2H",2,1)&amp;"|"&amp;IF(G48="slashing",1,0),_lookup!$G$3:$H$18,2,FALSE),""))))</f>
        <v/>
      </c>
      <c r="L48">
        <f>IF(K48="","",IF(OR(G48="channeling",G48="infusing"),"Magical",IF(G48="blocking","Anti-Physical",IF(G48="warding","Anti-Magical","Physical"))))</f>
        <v/>
      </c>
      <c r="O48">
        <f>IF(F48&lt;&gt;"armor","","TBD")</f>
        <v/>
      </c>
      <c r="P48">
        <f>IF(O48="","",IF(OR(G48="channeling",G48="infusing"),"Magical",IF(G48="blocking","Anti-Physical",IF(G48="warding","Anti-Magical","Physical"))))</f>
        <v/>
      </c>
    </row>
    <row r="49">
      <c r="J49">
        <f>IF(G49="","",IFERROR(IF(G49="infusing",IFERROR(LOOKUP(2,1/ISNUMBER(SEARCH(_lookup!$D$3:$D$4,H49)),_lookup!$E$3:$E$4),"INT"),VLOOKUP(G49,_lookup!$A$3:$B$14,2,FALSE)),""))</f>
        <v/>
      </c>
      <c r="K49">
        <f>IF(F49&lt;&gt;"weapon","",IF(G49="miscellaneous","1-4",IF(I49="","",IFERROR(VLOOKUP(I49&amp;"|"&amp;IF(LEFT(H49,2)="2H",2,1)&amp;"|"&amp;IF(G49="slashing",1,0),_lookup!$G$3:$H$18,2,FALSE),""))))</f>
        <v/>
      </c>
      <c r="L49">
        <f>IF(K49="","",IF(OR(G49="channeling",G49="infusing"),"Magical",IF(G49="blocking","Anti-Physical",IF(G49="warding","Anti-Magical","Physical"))))</f>
        <v/>
      </c>
      <c r="O49">
        <f>IF(F49&lt;&gt;"armor","","TBD")</f>
        <v/>
      </c>
      <c r="P49">
        <f>IF(O49="","",IF(OR(G49="channeling",G49="infusing"),"Magical",IF(G49="blocking","Anti-Physical",IF(G49="warding","Anti-Magical","Physical"))))</f>
        <v/>
      </c>
    </row>
    <row r="50">
      <c r="J50">
        <f>IF(G50="","",IFERROR(IF(G50="infusing",IFERROR(LOOKUP(2,1/ISNUMBER(SEARCH(_lookup!$D$3:$D$4,H50)),_lookup!$E$3:$E$4),"INT"),VLOOKUP(G50,_lookup!$A$3:$B$14,2,FALSE)),""))</f>
        <v/>
      </c>
      <c r="K50">
        <f>IF(F50&lt;&gt;"weapon","",IF(G50="miscellaneous","1-4",IF(I50="","",IFERROR(VLOOKUP(I50&amp;"|"&amp;IF(LEFT(H50,2)="2H",2,1)&amp;"|"&amp;IF(G50="slashing",1,0),_lookup!$G$3:$H$18,2,FALSE),""))))</f>
        <v/>
      </c>
      <c r="L50">
        <f>IF(K50="","",IF(OR(G50="channeling",G50="infusing"),"Magical",IF(G50="blocking","Anti-Physical",IF(G50="warding","Anti-Magical","Physical"))))</f>
        <v/>
      </c>
      <c r="O50">
        <f>IF(F50&lt;&gt;"armor","","TBD")</f>
        <v/>
      </c>
      <c r="P50">
        <f>IF(O50="","",IF(OR(G50="channeling",G50="infusing"),"Magical",IF(G50="blocking","Anti-Physical",IF(G50="warding","Anti-Magical","Physical"))))</f>
        <v/>
      </c>
    </row>
    <row r="51">
      <c r="J51">
        <f>IF(G51="","",IFERROR(IF(G51="infusing",IFERROR(LOOKUP(2,1/ISNUMBER(SEARCH(_lookup!$D$3:$D$4,H51)),_lookup!$E$3:$E$4),"INT"),VLOOKUP(G51,_lookup!$A$3:$B$14,2,FALSE)),""))</f>
        <v/>
      </c>
      <c r="K51">
        <f>IF(F51&lt;&gt;"weapon","",IF(G51="miscellaneous","1-4",IF(I51="","",IFERROR(VLOOKUP(I51&amp;"|"&amp;IF(LEFT(H51,2)="2H",2,1)&amp;"|"&amp;IF(G51="slashing",1,0),_lookup!$G$3:$H$18,2,FALSE),""))))</f>
        <v/>
      </c>
      <c r="L51">
        <f>IF(K51="","",IF(OR(G51="channeling",G51="infusing"),"Magical",IF(G51="blocking","Anti-Physical",IF(G51="warding","Anti-Magical","Physical"))))</f>
        <v/>
      </c>
      <c r="O51">
        <f>IF(F51&lt;&gt;"armor","","TBD")</f>
        <v/>
      </c>
      <c r="P51">
        <f>IF(O51="","",IF(OR(G51="channeling",G51="infusing"),"Magical",IF(G51="blocking","Anti-Physical",IF(G51="warding","Anti-Magical","Physical"))))</f>
        <v/>
      </c>
    </row>
    <row r="52">
      <c r="J52">
        <f>IF(G52="","",IFERROR(IF(G52="infusing",IFERROR(LOOKUP(2,1/ISNUMBER(SEARCH(_lookup!$D$3:$D$4,H52)),_lookup!$E$3:$E$4),"INT"),VLOOKUP(G52,_lookup!$A$3:$B$14,2,FALSE)),""))</f>
        <v/>
      </c>
      <c r="K52">
        <f>IF(F52&lt;&gt;"weapon","",IF(G52="miscellaneous","1-4",IF(I52="","",IFERROR(VLOOKUP(I52&amp;"|"&amp;IF(LEFT(H52,2)="2H",2,1)&amp;"|"&amp;IF(G52="slashing",1,0),_lookup!$G$3:$H$18,2,FALSE),""))))</f>
        <v/>
      </c>
      <c r="L52">
        <f>IF(K52="","",IF(OR(G52="channeling",G52="infusing"),"Magical",IF(G52="blocking","Anti-Physical",IF(G52="warding","Anti-Magical","Physical"))))</f>
        <v/>
      </c>
      <c r="O52">
        <f>IF(F52&lt;&gt;"armor","","TBD")</f>
        <v/>
      </c>
      <c r="P52">
        <f>IF(O52="","",IF(OR(G52="channeling",G52="infusing"),"Magical",IF(G52="blocking","Anti-Physical",IF(G52="warding","Anti-Magical","Physical"))))</f>
        <v/>
      </c>
    </row>
    <row r="53">
      <c r="J53">
        <f>IF(G53="","",IFERROR(IF(G53="infusing",IFERROR(LOOKUP(2,1/ISNUMBER(SEARCH(_lookup!$D$3:$D$4,H53)),_lookup!$E$3:$E$4),"INT"),VLOOKUP(G53,_lookup!$A$3:$B$14,2,FALSE)),""))</f>
        <v/>
      </c>
      <c r="K53">
        <f>IF(F53&lt;&gt;"weapon","",IF(G53="miscellaneous","1-4",IF(I53="","",IFERROR(VLOOKUP(I53&amp;"|"&amp;IF(LEFT(H53,2)="2H",2,1)&amp;"|"&amp;IF(G53="slashing",1,0),_lookup!$G$3:$H$18,2,FALSE),""))))</f>
        <v/>
      </c>
      <c r="L53">
        <f>IF(K53="","",IF(OR(G53="channeling",G53="infusing"),"Magical",IF(G53="blocking","Anti-Physical",IF(G53="warding","Anti-Magical","Physical"))))</f>
        <v/>
      </c>
      <c r="O53">
        <f>IF(F53&lt;&gt;"armor","","TBD")</f>
        <v/>
      </c>
      <c r="P53">
        <f>IF(O53="","",IF(OR(G53="channeling",G53="infusing"),"Magical",IF(G53="blocking","Anti-Physical",IF(G53="warding","Anti-Magical","Physical"))))</f>
        <v/>
      </c>
    </row>
    <row r="54">
      <c r="J54">
        <f>IF(G54="","",IFERROR(IF(G54="infusing",IFERROR(LOOKUP(2,1/ISNUMBER(SEARCH(_lookup!$D$3:$D$4,H54)),_lookup!$E$3:$E$4),"INT"),VLOOKUP(G54,_lookup!$A$3:$B$14,2,FALSE)),""))</f>
        <v/>
      </c>
      <c r="K54">
        <f>IF(F54&lt;&gt;"weapon","",IF(G54="miscellaneous","1-4",IF(I54="","",IFERROR(VLOOKUP(I54&amp;"|"&amp;IF(LEFT(H54,2)="2H",2,1)&amp;"|"&amp;IF(G54="slashing",1,0),_lookup!$G$3:$H$18,2,FALSE),""))))</f>
        <v/>
      </c>
      <c r="L54">
        <f>IF(K54="","",IF(OR(G54="channeling",G54="infusing"),"Magical",IF(G54="blocking","Anti-Physical",IF(G54="warding","Anti-Magical","Physical"))))</f>
        <v/>
      </c>
      <c r="O54">
        <f>IF(F54&lt;&gt;"armor","","TBD")</f>
        <v/>
      </c>
      <c r="P54">
        <f>IF(O54="","",IF(OR(G54="channeling",G54="infusing"),"Magical",IF(G54="blocking","Anti-Physical",IF(G54="warding","Anti-Magical","Physical"))))</f>
        <v/>
      </c>
    </row>
    <row r="55">
      <c r="J55">
        <f>IF(G55="","",IFERROR(IF(G55="infusing",IFERROR(LOOKUP(2,1/ISNUMBER(SEARCH(_lookup!$D$3:$D$4,H55)),_lookup!$E$3:$E$4),"INT"),VLOOKUP(G55,_lookup!$A$3:$B$14,2,FALSE)),""))</f>
        <v/>
      </c>
      <c r="K55">
        <f>IF(F55&lt;&gt;"weapon","",IF(G55="miscellaneous","1-4",IF(I55="","",IFERROR(VLOOKUP(I55&amp;"|"&amp;IF(LEFT(H55,2)="2H",2,1)&amp;"|"&amp;IF(G55="slashing",1,0),_lookup!$G$3:$H$18,2,FALSE),""))))</f>
        <v/>
      </c>
      <c r="L55">
        <f>IF(K55="","",IF(OR(G55="channeling",G55="infusing"),"Magical",IF(G55="blocking","Anti-Physical",IF(G55="warding","Anti-Magical","Physical"))))</f>
        <v/>
      </c>
      <c r="O55">
        <f>IF(F55&lt;&gt;"armor","","TBD")</f>
        <v/>
      </c>
      <c r="P55">
        <f>IF(O55="","",IF(OR(G55="channeling",G55="infusing"),"Magical",IF(G55="blocking","Anti-Physical",IF(G55="warding","Anti-Magical","Physical"))))</f>
        <v/>
      </c>
    </row>
    <row r="56">
      <c r="J56">
        <f>IF(G56="","",IFERROR(IF(G56="infusing",IFERROR(LOOKUP(2,1/ISNUMBER(SEARCH(_lookup!$D$3:$D$4,H56)),_lookup!$E$3:$E$4),"INT"),VLOOKUP(G56,_lookup!$A$3:$B$14,2,FALSE)),""))</f>
        <v/>
      </c>
      <c r="K56">
        <f>IF(F56&lt;&gt;"weapon","",IF(G56="miscellaneous","1-4",IF(I56="","",IFERROR(VLOOKUP(I56&amp;"|"&amp;IF(LEFT(H56,2)="2H",2,1)&amp;"|"&amp;IF(G56="slashing",1,0),_lookup!$G$3:$H$18,2,FALSE),""))))</f>
        <v/>
      </c>
      <c r="L56">
        <f>IF(K56="","",IF(OR(G56="channeling",G56="infusing"),"Magical",IF(G56="blocking","Anti-Physical",IF(G56="warding","Anti-Magical","Physical"))))</f>
        <v/>
      </c>
      <c r="O56">
        <f>IF(F56&lt;&gt;"armor","","TBD")</f>
        <v/>
      </c>
      <c r="P56">
        <f>IF(O56="","",IF(OR(G56="channeling",G56="infusing"),"Magical",IF(G56="blocking","Anti-Physical",IF(G56="warding","Anti-Magical","Physical"))))</f>
        <v/>
      </c>
    </row>
    <row r="57">
      <c r="J57">
        <f>IF(G57="","",IFERROR(IF(G57="infusing",IFERROR(LOOKUP(2,1/ISNUMBER(SEARCH(_lookup!$D$3:$D$4,H57)),_lookup!$E$3:$E$4),"INT"),VLOOKUP(G57,_lookup!$A$3:$B$14,2,FALSE)),""))</f>
        <v/>
      </c>
      <c r="K57">
        <f>IF(F57&lt;&gt;"weapon","",IF(G57="miscellaneous","1-4",IF(I57="","",IFERROR(VLOOKUP(I57&amp;"|"&amp;IF(LEFT(H57,2)="2H",2,1)&amp;"|"&amp;IF(G57="slashing",1,0),_lookup!$G$3:$H$18,2,FALSE),""))))</f>
        <v/>
      </c>
      <c r="L57">
        <f>IF(K57="","",IF(OR(G57="channeling",G57="infusing"),"Magical",IF(G57="blocking","Anti-Physical",IF(G57="warding","Anti-Magical","Physical"))))</f>
        <v/>
      </c>
      <c r="O57">
        <f>IF(F57&lt;&gt;"armor","","TBD")</f>
        <v/>
      </c>
      <c r="P57">
        <f>IF(O57="","",IF(OR(G57="channeling",G57="infusing"),"Magical",IF(G57="blocking","Anti-Physical",IF(G57="warding","Anti-Magical","Physical"))))</f>
        <v/>
      </c>
    </row>
    <row r="58">
      <c r="J58">
        <f>IF(G58="","",IFERROR(IF(G58="infusing",IFERROR(LOOKUP(2,1/ISNUMBER(SEARCH(_lookup!$D$3:$D$4,H58)),_lookup!$E$3:$E$4),"INT"),VLOOKUP(G58,_lookup!$A$3:$B$14,2,FALSE)),""))</f>
        <v/>
      </c>
      <c r="K58">
        <f>IF(F58&lt;&gt;"weapon","",IF(G58="miscellaneous","1-4",IF(I58="","",IFERROR(VLOOKUP(I58&amp;"|"&amp;IF(LEFT(H58,2)="2H",2,1)&amp;"|"&amp;IF(G58="slashing",1,0),_lookup!$G$3:$H$18,2,FALSE),""))))</f>
        <v/>
      </c>
      <c r="L58">
        <f>IF(K58="","",IF(OR(G58="channeling",G58="infusing"),"Magical",IF(G58="blocking","Anti-Physical",IF(G58="warding","Anti-Magical","Physical"))))</f>
        <v/>
      </c>
      <c r="O58">
        <f>IF(F58&lt;&gt;"armor","","TBD")</f>
        <v/>
      </c>
      <c r="P58">
        <f>IF(O58="","",IF(OR(G58="channeling",G58="infusing"),"Magical",IF(G58="blocking","Anti-Physical",IF(G58="warding","Anti-Magical","Physical"))))</f>
        <v/>
      </c>
    </row>
    <row r="59">
      <c r="J59">
        <f>IF(G59="","",IFERROR(IF(G59="infusing",IFERROR(LOOKUP(2,1/ISNUMBER(SEARCH(_lookup!$D$3:$D$4,H59)),_lookup!$E$3:$E$4),"INT"),VLOOKUP(G59,_lookup!$A$3:$B$14,2,FALSE)),""))</f>
        <v/>
      </c>
      <c r="K59">
        <f>IF(F59&lt;&gt;"weapon","",IF(G59="miscellaneous","1-4",IF(I59="","",IFERROR(VLOOKUP(I59&amp;"|"&amp;IF(LEFT(H59,2)="2H",2,1)&amp;"|"&amp;IF(G59="slashing",1,0),_lookup!$G$3:$H$18,2,FALSE),""))))</f>
        <v/>
      </c>
      <c r="L59">
        <f>IF(K59="","",IF(OR(G59="channeling",G59="infusing"),"Magical",IF(G59="blocking","Anti-Physical",IF(G59="warding","Anti-Magical","Physical"))))</f>
        <v/>
      </c>
      <c r="O59">
        <f>IF(F59&lt;&gt;"armor","","TBD")</f>
        <v/>
      </c>
      <c r="P59">
        <f>IF(O59="","",IF(OR(G59="channeling",G59="infusing"),"Magical",IF(G59="blocking","Anti-Physical",IF(G59="warding","Anti-Magical","Physical"))))</f>
        <v/>
      </c>
    </row>
    <row r="60">
      <c r="J60">
        <f>IF(G60="","",IFERROR(IF(G60="infusing",IFERROR(LOOKUP(2,1/ISNUMBER(SEARCH(_lookup!$D$3:$D$4,H60)),_lookup!$E$3:$E$4),"INT"),VLOOKUP(G60,_lookup!$A$3:$B$14,2,FALSE)),""))</f>
        <v/>
      </c>
      <c r="K60">
        <f>IF(F60&lt;&gt;"weapon","",IF(G60="miscellaneous","1-4",IF(I60="","",IFERROR(VLOOKUP(I60&amp;"|"&amp;IF(LEFT(H60,2)="2H",2,1)&amp;"|"&amp;IF(G60="slashing",1,0),_lookup!$G$3:$H$18,2,FALSE),""))))</f>
        <v/>
      </c>
      <c r="L60">
        <f>IF(K60="","",IF(OR(G60="channeling",G60="infusing"),"Magical",IF(G60="blocking","Anti-Physical",IF(G60="warding","Anti-Magical","Physical"))))</f>
        <v/>
      </c>
      <c r="O60">
        <f>IF(F60&lt;&gt;"armor","","TBD")</f>
        <v/>
      </c>
      <c r="P60">
        <f>IF(O60="","",IF(OR(G60="channeling",G60="infusing"),"Magical",IF(G60="blocking","Anti-Physical",IF(G60="warding","Anti-Magical","Physical"))))</f>
        <v/>
      </c>
    </row>
    <row r="61">
      <c r="J61">
        <f>IF(G61="","",IFERROR(IF(G61="infusing",IFERROR(LOOKUP(2,1/ISNUMBER(SEARCH(_lookup!$D$3:$D$4,H61)),_lookup!$E$3:$E$4),"INT"),VLOOKUP(G61,_lookup!$A$3:$B$14,2,FALSE)),""))</f>
        <v/>
      </c>
      <c r="K61">
        <f>IF(F61&lt;&gt;"weapon","",IF(G61="miscellaneous","1-4",IF(I61="","",IFERROR(VLOOKUP(I61&amp;"|"&amp;IF(LEFT(H61,2)="2H",2,1)&amp;"|"&amp;IF(G61="slashing",1,0),_lookup!$G$3:$H$18,2,FALSE),""))))</f>
        <v/>
      </c>
      <c r="L61">
        <f>IF(K61="","",IF(OR(G61="channeling",G61="infusing"),"Magical",IF(G61="blocking","Anti-Physical",IF(G61="warding","Anti-Magical","Physical"))))</f>
        <v/>
      </c>
      <c r="O61">
        <f>IF(F61&lt;&gt;"armor","","TBD")</f>
        <v/>
      </c>
      <c r="P61">
        <f>IF(O61="","",IF(OR(G61="channeling",G61="infusing"),"Magical",IF(G61="blocking","Anti-Physical",IF(G61="warding","Anti-Magical","Physical"))))</f>
        <v/>
      </c>
    </row>
    <row r="62">
      <c r="J62">
        <f>IF(G62="","",IFERROR(IF(G62="infusing",IFERROR(LOOKUP(2,1/ISNUMBER(SEARCH(_lookup!$D$3:$D$4,H62)),_lookup!$E$3:$E$4),"INT"),VLOOKUP(G62,_lookup!$A$3:$B$14,2,FALSE)),""))</f>
        <v/>
      </c>
      <c r="K62">
        <f>IF(F62&lt;&gt;"weapon","",IF(G62="miscellaneous","1-4",IF(I62="","",IFERROR(VLOOKUP(I62&amp;"|"&amp;IF(LEFT(H62,2)="2H",2,1)&amp;"|"&amp;IF(G62="slashing",1,0),_lookup!$G$3:$H$18,2,FALSE),""))))</f>
        <v/>
      </c>
      <c r="L62">
        <f>IF(K62="","",IF(OR(G62="channeling",G62="infusing"),"Magical",IF(G62="blocking","Anti-Physical",IF(G62="warding","Anti-Magical","Physical"))))</f>
        <v/>
      </c>
      <c r="O62">
        <f>IF(F62&lt;&gt;"armor","","TBD")</f>
        <v/>
      </c>
      <c r="P62">
        <f>IF(O62="","",IF(OR(G62="channeling",G62="infusing"),"Magical",IF(G62="blocking","Anti-Physical",IF(G62="warding","Anti-Magical","Physical"))))</f>
        <v/>
      </c>
    </row>
    <row r="63">
      <c r="J63">
        <f>IF(G63="","",IFERROR(IF(G63="infusing",IFERROR(LOOKUP(2,1/ISNUMBER(SEARCH(_lookup!$D$3:$D$4,H63)),_lookup!$E$3:$E$4),"INT"),VLOOKUP(G63,_lookup!$A$3:$B$14,2,FALSE)),""))</f>
        <v/>
      </c>
      <c r="K63">
        <f>IF(F63&lt;&gt;"weapon","",IF(G63="miscellaneous","1-4",IF(I63="","",IFERROR(VLOOKUP(I63&amp;"|"&amp;IF(LEFT(H63,2)="2H",2,1)&amp;"|"&amp;IF(G63="slashing",1,0),_lookup!$G$3:$H$18,2,FALSE),""))))</f>
        <v/>
      </c>
      <c r="L63">
        <f>IF(K63="","",IF(OR(G63="channeling",G63="infusing"),"Magical",IF(G63="blocking","Anti-Physical",IF(G63="warding","Anti-Magical","Physical"))))</f>
        <v/>
      </c>
      <c r="O63">
        <f>IF(F63&lt;&gt;"armor","","TBD")</f>
        <v/>
      </c>
      <c r="P63">
        <f>IF(O63="","",IF(OR(G63="channeling",G63="infusing"),"Magical",IF(G63="blocking","Anti-Physical",IF(G63="warding","Anti-Magical","Physical"))))</f>
        <v/>
      </c>
    </row>
    <row r="64">
      <c r="J64">
        <f>IF(G64="","",IFERROR(IF(G64="infusing",IFERROR(LOOKUP(2,1/ISNUMBER(SEARCH(_lookup!$D$3:$D$4,H64)),_lookup!$E$3:$E$4),"INT"),VLOOKUP(G64,_lookup!$A$3:$B$14,2,FALSE)),""))</f>
        <v/>
      </c>
      <c r="K64">
        <f>IF(F64&lt;&gt;"weapon","",IF(G64="miscellaneous","1-4",IF(I64="","",IFERROR(VLOOKUP(I64&amp;"|"&amp;IF(LEFT(H64,2)="2H",2,1)&amp;"|"&amp;IF(G64="slashing",1,0),_lookup!$G$3:$H$18,2,FALSE),""))))</f>
        <v/>
      </c>
      <c r="L64">
        <f>IF(K64="","",IF(OR(G64="channeling",G64="infusing"),"Magical",IF(G64="blocking","Anti-Physical",IF(G64="warding","Anti-Magical","Physical"))))</f>
        <v/>
      </c>
      <c r="O64">
        <f>IF(F64&lt;&gt;"armor","","TBD")</f>
        <v/>
      </c>
      <c r="P64">
        <f>IF(O64="","",IF(OR(G64="channeling",G64="infusing"),"Magical",IF(G64="blocking","Anti-Physical",IF(G64="warding","Anti-Magical","Physical"))))</f>
        <v/>
      </c>
    </row>
    <row r="65">
      <c r="J65">
        <f>IF(G65="","",IFERROR(IF(G65="infusing",IFERROR(LOOKUP(2,1/ISNUMBER(SEARCH(_lookup!$D$3:$D$4,H65)),_lookup!$E$3:$E$4),"INT"),VLOOKUP(G65,_lookup!$A$3:$B$14,2,FALSE)),""))</f>
        <v/>
      </c>
      <c r="K65">
        <f>IF(F65&lt;&gt;"weapon","",IF(G65="miscellaneous","1-4",IF(I65="","",IFERROR(VLOOKUP(I65&amp;"|"&amp;IF(LEFT(H65,2)="2H",2,1)&amp;"|"&amp;IF(G65="slashing",1,0),_lookup!$G$3:$H$18,2,FALSE),""))))</f>
        <v/>
      </c>
      <c r="L65">
        <f>IF(K65="","",IF(OR(G65="channeling",G65="infusing"),"Magical",IF(G65="blocking","Anti-Physical",IF(G65="warding","Anti-Magical","Physical"))))</f>
        <v/>
      </c>
      <c r="O65">
        <f>IF(F65&lt;&gt;"armor","","TBD")</f>
        <v/>
      </c>
      <c r="P65">
        <f>IF(O65="","",IF(OR(G65="channeling",G65="infusing"),"Magical",IF(G65="blocking","Anti-Physical",IF(G65="warding","Anti-Magical","Physical"))))</f>
        <v/>
      </c>
    </row>
    <row r="66">
      <c r="J66">
        <f>IF(G66="","",IFERROR(IF(G66="infusing",IFERROR(LOOKUP(2,1/ISNUMBER(SEARCH(_lookup!$D$3:$D$4,H66)),_lookup!$E$3:$E$4),"INT"),VLOOKUP(G66,_lookup!$A$3:$B$14,2,FALSE)),""))</f>
        <v/>
      </c>
      <c r="K66">
        <f>IF(F66&lt;&gt;"weapon","",IF(G66="miscellaneous","1-4",IF(I66="","",IFERROR(VLOOKUP(I66&amp;"|"&amp;IF(LEFT(H66,2)="2H",2,1)&amp;"|"&amp;IF(G66="slashing",1,0),_lookup!$G$3:$H$18,2,FALSE),""))))</f>
        <v/>
      </c>
      <c r="L66">
        <f>IF(K66="","",IF(OR(G66="channeling",G66="infusing"),"Magical",IF(G66="blocking","Anti-Physical",IF(G66="warding","Anti-Magical","Physical"))))</f>
        <v/>
      </c>
      <c r="O66">
        <f>IF(F66&lt;&gt;"armor","","TBD")</f>
        <v/>
      </c>
      <c r="P66">
        <f>IF(O66="","",IF(OR(G66="channeling",G66="infusing"),"Magical",IF(G66="blocking","Anti-Physical",IF(G66="warding","Anti-Magical","Physical"))))</f>
        <v/>
      </c>
    </row>
    <row r="67">
      <c r="J67">
        <f>IF(G67="","",IFERROR(IF(G67="infusing",IFERROR(LOOKUP(2,1/ISNUMBER(SEARCH(_lookup!$D$3:$D$4,H67)),_lookup!$E$3:$E$4),"INT"),VLOOKUP(G67,_lookup!$A$3:$B$14,2,FALSE)),""))</f>
        <v/>
      </c>
      <c r="K67">
        <f>IF(F67&lt;&gt;"weapon","",IF(G67="miscellaneous","1-4",IF(I67="","",IFERROR(VLOOKUP(I67&amp;"|"&amp;IF(LEFT(H67,2)="2H",2,1)&amp;"|"&amp;IF(G67="slashing",1,0),_lookup!$G$3:$H$18,2,FALSE),""))))</f>
        <v/>
      </c>
      <c r="L67">
        <f>IF(K67="","",IF(OR(G67="channeling",G67="infusing"),"Magical",IF(G67="blocking","Anti-Physical",IF(G67="warding","Anti-Magical","Physical"))))</f>
        <v/>
      </c>
      <c r="O67">
        <f>IF(F67&lt;&gt;"armor","","TBD")</f>
        <v/>
      </c>
      <c r="P67">
        <f>IF(O67="","",IF(OR(G67="channeling",G67="infusing"),"Magical",IF(G67="blocking","Anti-Physical",IF(G67="warding","Anti-Magical","Physical"))))</f>
        <v/>
      </c>
    </row>
    <row r="68">
      <c r="J68">
        <f>IF(G68="","",IFERROR(IF(G68="infusing",IFERROR(LOOKUP(2,1/ISNUMBER(SEARCH(_lookup!$D$3:$D$4,H68)),_lookup!$E$3:$E$4),"INT"),VLOOKUP(G68,_lookup!$A$3:$B$14,2,FALSE)),""))</f>
        <v/>
      </c>
      <c r="K68">
        <f>IF(F68&lt;&gt;"weapon","",IF(G68="miscellaneous","1-4",IF(I68="","",IFERROR(VLOOKUP(I68&amp;"|"&amp;IF(LEFT(H68,2)="2H",2,1)&amp;"|"&amp;IF(G68="slashing",1,0),_lookup!$G$3:$H$18,2,FALSE),""))))</f>
        <v/>
      </c>
      <c r="L68">
        <f>IF(K68="","",IF(OR(G68="channeling",G68="infusing"),"Magical",IF(G68="blocking","Anti-Physical",IF(G68="warding","Anti-Magical","Physical"))))</f>
        <v/>
      </c>
      <c r="O68">
        <f>IF(F68&lt;&gt;"armor","","TBD")</f>
        <v/>
      </c>
      <c r="P68">
        <f>IF(O68="","",IF(OR(G68="channeling",G68="infusing"),"Magical",IF(G68="blocking","Anti-Physical",IF(G68="warding","Anti-Magical","Physical"))))</f>
        <v/>
      </c>
    </row>
    <row r="69">
      <c r="J69">
        <f>IF(G69="","",IFERROR(IF(G69="infusing",IFERROR(LOOKUP(2,1/ISNUMBER(SEARCH(_lookup!$D$3:$D$4,H69)),_lookup!$E$3:$E$4),"INT"),VLOOKUP(G69,_lookup!$A$3:$B$14,2,FALSE)),""))</f>
        <v/>
      </c>
      <c r="K69">
        <f>IF(F69&lt;&gt;"weapon","",IF(G69="miscellaneous","1-4",IF(I69="","",IFERROR(VLOOKUP(I69&amp;"|"&amp;IF(LEFT(H69,2)="2H",2,1)&amp;"|"&amp;IF(G69="slashing",1,0),_lookup!$G$3:$H$18,2,FALSE),""))))</f>
        <v/>
      </c>
      <c r="L69">
        <f>IF(K69="","",IF(OR(G69="channeling",G69="infusing"),"Magical",IF(G69="blocking","Anti-Physical",IF(G69="warding","Anti-Magical","Physical"))))</f>
        <v/>
      </c>
      <c r="O69">
        <f>IF(F69&lt;&gt;"armor","","TBD")</f>
        <v/>
      </c>
      <c r="P69">
        <f>IF(O69="","",IF(OR(G69="channeling",G69="infusing"),"Magical",IF(G69="blocking","Anti-Physical",IF(G69="warding","Anti-Magical","Physical"))))</f>
        <v/>
      </c>
    </row>
    <row r="70">
      <c r="J70">
        <f>IF(G70="","",IFERROR(IF(G70="infusing",IFERROR(LOOKUP(2,1/ISNUMBER(SEARCH(_lookup!$D$3:$D$4,H70)),_lookup!$E$3:$E$4),"INT"),VLOOKUP(G70,_lookup!$A$3:$B$14,2,FALSE)),""))</f>
        <v/>
      </c>
      <c r="K70">
        <f>IF(F70&lt;&gt;"weapon","",IF(G70="miscellaneous","1-4",IF(I70="","",IFERROR(VLOOKUP(I70&amp;"|"&amp;IF(LEFT(H70,2)="2H",2,1)&amp;"|"&amp;IF(G70="slashing",1,0),_lookup!$G$3:$H$18,2,FALSE),""))))</f>
        <v/>
      </c>
      <c r="L70">
        <f>IF(K70="","",IF(OR(G70="channeling",G70="infusing"),"Magical",IF(G70="blocking","Anti-Physical",IF(G70="warding","Anti-Magical","Physical"))))</f>
        <v/>
      </c>
      <c r="O70">
        <f>IF(F70&lt;&gt;"armor","","TBD")</f>
        <v/>
      </c>
      <c r="P70">
        <f>IF(O70="","",IF(OR(G70="channeling",G70="infusing"),"Magical",IF(G70="blocking","Anti-Physical",IF(G70="warding","Anti-Magical","Physical"))))</f>
        <v/>
      </c>
    </row>
    <row r="71">
      <c r="J71">
        <f>IF(G71="","",IFERROR(IF(G71="infusing",IFERROR(LOOKUP(2,1/ISNUMBER(SEARCH(_lookup!$D$3:$D$4,H71)),_lookup!$E$3:$E$4),"INT"),VLOOKUP(G71,_lookup!$A$3:$B$14,2,FALSE)),""))</f>
        <v/>
      </c>
      <c r="K71">
        <f>IF(F71&lt;&gt;"weapon","",IF(G71="miscellaneous","1-4",IF(I71="","",IFERROR(VLOOKUP(I71&amp;"|"&amp;IF(LEFT(H71,2)="2H",2,1)&amp;"|"&amp;IF(G71="slashing",1,0),_lookup!$G$3:$H$18,2,FALSE),""))))</f>
        <v/>
      </c>
      <c r="L71">
        <f>IF(K71="","",IF(OR(G71="channeling",G71="infusing"),"Magical",IF(G71="blocking","Anti-Physical",IF(G71="warding","Anti-Magical","Physical"))))</f>
        <v/>
      </c>
      <c r="O71">
        <f>IF(F71&lt;&gt;"armor","","TBD")</f>
        <v/>
      </c>
      <c r="P71">
        <f>IF(O71="","",IF(OR(G71="channeling",G71="infusing"),"Magical",IF(G71="blocking","Anti-Physical",IF(G71="warding","Anti-Magical","Physical"))))</f>
        <v/>
      </c>
    </row>
    <row r="72">
      <c r="J72">
        <f>IF(G72="","",IFERROR(IF(G72="infusing",IFERROR(LOOKUP(2,1/ISNUMBER(SEARCH(_lookup!$D$3:$D$4,H72)),_lookup!$E$3:$E$4),"INT"),VLOOKUP(G72,_lookup!$A$3:$B$14,2,FALSE)),""))</f>
        <v/>
      </c>
      <c r="K72">
        <f>IF(F72&lt;&gt;"weapon","",IF(G72="miscellaneous","1-4",IF(I72="","",IFERROR(VLOOKUP(I72&amp;"|"&amp;IF(LEFT(H72,2)="2H",2,1)&amp;"|"&amp;IF(G72="slashing",1,0),_lookup!$G$3:$H$18,2,FALSE),""))))</f>
        <v/>
      </c>
      <c r="L72">
        <f>IF(K72="","",IF(OR(G72="channeling",G72="infusing"),"Magical",IF(G72="blocking","Anti-Physical",IF(G72="warding","Anti-Magical","Physical"))))</f>
        <v/>
      </c>
      <c r="O72">
        <f>IF(F72&lt;&gt;"armor","","TBD")</f>
        <v/>
      </c>
      <c r="P72">
        <f>IF(O72="","",IF(OR(G72="channeling",G72="infusing"),"Magical",IF(G72="blocking","Anti-Physical",IF(G72="warding","Anti-Magical","Physical"))))</f>
        <v/>
      </c>
    </row>
    <row r="73">
      <c r="J73">
        <f>IF(G73="","",IFERROR(IF(G73="infusing",IFERROR(LOOKUP(2,1/ISNUMBER(SEARCH(_lookup!$D$3:$D$4,H73)),_lookup!$E$3:$E$4),"INT"),VLOOKUP(G73,_lookup!$A$3:$B$14,2,FALSE)),""))</f>
        <v/>
      </c>
      <c r="K73">
        <f>IF(F73&lt;&gt;"weapon","",IF(G73="miscellaneous","1-4",IF(I73="","",IFERROR(VLOOKUP(I73&amp;"|"&amp;IF(LEFT(H73,2)="2H",2,1)&amp;"|"&amp;IF(G73="slashing",1,0),_lookup!$G$3:$H$18,2,FALSE),""))))</f>
        <v/>
      </c>
      <c r="L73">
        <f>IF(K73="","",IF(OR(G73="channeling",G73="infusing"),"Magical",IF(G73="blocking","Anti-Physical",IF(G73="warding","Anti-Magical","Physical"))))</f>
        <v/>
      </c>
      <c r="O73">
        <f>IF(F73&lt;&gt;"armor","","TBD")</f>
        <v/>
      </c>
      <c r="P73">
        <f>IF(O73="","",IF(OR(G73="channeling",G73="infusing"),"Magical",IF(G73="blocking","Anti-Physical",IF(G73="warding","Anti-Magical","Physical"))))</f>
        <v/>
      </c>
    </row>
    <row r="74">
      <c r="J74">
        <f>IF(G74="","",IFERROR(IF(G74="infusing",IFERROR(LOOKUP(2,1/ISNUMBER(SEARCH(_lookup!$D$3:$D$4,H74)),_lookup!$E$3:$E$4),"INT"),VLOOKUP(G74,_lookup!$A$3:$B$14,2,FALSE)),""))</f>
        <v/>
      </c>
      <c r="K74">
        <f>IF(F74&lt;&gt;"weapon","",IF(G74="miscellaneous","1-4",IF(I74="","",IFERROR(VLOOKUP(I74&amp;"|"&amp;IF(LEFT(H74,2)="2H",2,1)&amp;"|"&amp;IF(G74="slashing",1,0),_lookup!$G$3:$H$18,2,FALSE),""))))</f>
        <v/>
      </c>
      <c r="L74">
        <f>IF(K74="","",IF(OR(G74="channeling",G74="infusing"),"Magical",IF(G74="blocking","Anti-Physical",IF(G74="warding","Anti-Magical","Physical"))))</f>
        <v/>
      </c>
      <c r="O74">
        <f>IF(F74&lt;&gt;"armor","","TBD")</f>
        <v/>
      </c>
      <c r="P74">
        <f>IF(O74="","",IF(OR(G74="channeling",G74="infusing"),"Magical",IF(G74="blocking","Anti-Physical",IF(G74="warding","Anti-Magical","Physical"))))</f>
        <v/>
      </c>
    </row>
    <row r="75">
      <c r="J75">
        <f>IF(G75="","",IFERROR(IF(G75="infusing",IFERROR(LOOKUP(2,1/ISNUMBER(SEARCH(_lookup!$D$3:$D$4,H75)),_lookup!$E$3:$E$4),"INT"),VLOOKUP(G75,_lookup!$A$3:$B$14,2,FALSE)),""))</f>
        <v/>
      </c>
      <c r="K75">
        <f>IF(F75&lt;&gt;"weapon","",IF(G75="miscellaneous","1-4",IF(I75="","",IFERROR(VLOOKUP(I75&amp;"|"&amp;IF(LEFT(H75,2)="2H",2,1)&amp;"|"&amp;IF(G75="slashing",1,0),_lookup!$G$3:$H$18,2,FALSE),""))))</f>
        <v/>
      </c>
      <c r="L75">
        <f>IF(K75="","",IF(OR(G75="channeling",G75="infusing"),"Magical",IF(G75="blocking","Anti-Physical",IF(G75="warding","Anti-Magical","Physical"))))</f>
        <v/>
      </c>
      <c r="O75">
        <f>IF(F75&lt;&gt;"armor","","TBD")</f>
        <v/>
      </c>
      <c r="P75">
        <f>IF(O75="","",IF(OR(G75="channeling",G75="infusing"),"Magical",IF(G75="blocking","Anti-Physical",IF(G75="warding","Anti-Magical","Physical"))))</f>
        <v/>
      </c>
    </row>
    <row r="76">
      <c r="J76">
        <f>IF(G76="","",IFERROR(IF(G76="infusing",IFERROR(LOOKUP(2,1/ISNUMBER(SEARCH(_lookup!$D$3:$D$4,H76)),_lookup!$E$3:$E$4),"INT"),VLOOKUP(G76,_lookup!$A$3:$B$14,2,FALSE)),""))</f>
        <v/>
      </c>
      <c r="K76">
        <f>IF(F76&lt;&gt;"weapon","",IF(G76="miscellaneous","1-4",IF(I76="","",IFERROR(VLOOKUP(I76&amp;"|"&amp;IF(LEFT(H76,2)="2H",2,1)&amp;"|"&amp;IF(G76="slashing",1,0),_lookup!$G$3:$H$18,2,FALSE),""))))</f>
        <v/>
      </c>
      <c r="L76">
        <f>IF(K76="","",IF(OR(G76="channeling",G76="infusing"),"Magical",IF(G76="blocking","Anti-Physical",IF(G76="warding","Anti-Magical","Physical"))))</f>
        <v/>
      </c>
      <c r="O76">
        <f>IF(F76&lt;&gt;"armor","","TBD")</f>
        <v/>
      </c>
      <c r="P76">
        <f>IF(O76="","",IF(OR(G76="channeling",G76="infusing"),"Magical",IF(G76="blocking","Anti-Physical",IF(G76="warding","Anti-Magical","Physical"))))</f>
        <v/>
      </c>
    </row>
    <row r="77">
      <c r="J77">
        <f>IF(G77="","",IFERROR(IF(G77="infusing",IFERROR(LOOKUP(2,1/ISNUMBER(SEARCH(_lookup!$D$3:$D$4,H77)),_lookup!$E$3:$E$4),"INT"),VLOOKUP(G77,_lookup!$A$3:$B$14,2,FALSE)),""))</f>
        <v/>
      </c>
      <c r="K77">
        <f>IF(F77&lt;&gt;"weapon","",IF(G77="miscellaneous","1-4",IF(I77="","",IFERROR(VLOOKUP(I77&amp;"|"&amp;IF(LEFT(H77,2)="2H",2,1)&amp;"|"&amp;IF(G77="slashing",1,0),_lookup!$G$3:$H$18,2,FALSE),""))))</f>
        <v/>
      </c>
      <c r="L77">
        <f>IF(K77="","",IF(OR(G77="channeling",G77="infusing"),"Magical",IF(G77="blocking","Anti-Physical",IF(G77="warding","Anti-Magical","Physical"))))</f>
        <v/>
      </c>
      <c r="O77">
        <f>IF(F77&lt;&gt;"armor","","TBD")</f>
        <v/>
      </c>
      <c r="P77">
        <f>IF(O77="","",IF(OR(G77="channeling",G77="infusing"),"Magical",IF(G77="blocking","Anti-Physical",IF(G77="warding","Anti-Magical","Physical"))))</f>
        <v/>
      </c>
    </row>
    <row r="78">
      <c r="J78">
        <f>IF(G78="","",IFERROR(IF(G78="infusing",IFERROR(LOOKUP(2,1/ISNUMBER(SEARCH(_lookup!$D$3:$D$4,H78)),_lookup!$E$3:$E$4),"INT"),VLOOKUP(G78,_lookup!$A$3:$B$14,2,FALSE)),""))</f>
        <v/>
      </c>
      <c r="K78">
        <f>IF(F78&lt;&gt;"weapon","",IF(G78="miscellaneous","1-4",IF(I78="","",IFERROR(VLOOKUP(I78&amp;"|"&amp;IF(LEFT(H78,2)="2H",2,1)&amp;"|"&amp;IF(G78="slashing",1,0),_lookup!$G$3:$H$18,2,FALSE),""))))</f>
        <v/>
      </c>
      <c r="L78">
        <f>IF(K78="","",IF(OR(G78="channeling",G78="infusing"),"Magical",IF(G78="blocking","Anti-Physical",IF(G78="warding","Anti-Magical","Physical"))))</f>
        <v/>
      </c>
      <c r="O78">
        <f>IF(F78&lt;&gt;"armor","","TBD")</f>
        <v/>
      </c>
      <c r="P78">
        <f>IF(O78="","",IF(OR(G78="channeling",G78="infusing"),"Magical",IF(G78="blocking","Anti-Physical",IF(G78="warding","Anti-Magical","Physical"))))</f>
        <v/>
      </c>
    </row>
    <row r="79">
      <c r="J79">
        <f>IF(G79="","",IFERROR(IF(G79="infusing",IFERROR(LOOKUP(2,1/ISNUMBER(SEARCH(_lookup!$D$3:$D$4,H79)),_lookup!$E$3:$E$4),"INT"),VLOOKUP(G79,_lookup!$A$3:$B$14,2,FALSE)),""))</f>
        <v/>
      </c>
      <c r="K79">
        <f>IF(F79&lt;&gt;"weapon","",IF(G79="miscellaneous","1-4",IF(I79="","",IFERROR(VLOOKUP(I79&amp;"|"&amp;IF(LEFT(H79,2)="2H",2,1)&amp;"|"&amp;IF(G79="slashing",1,0),_lookup!$G$3:$H$18,2,FALSE),""))))</f>
        <v/>
      </c>
      <c r="L79">
        <f>IF(K79="","",IF(OR(G79="channeling",G79="infusing"),"Magical",IF(G79="blocking","Anti-Physical",IF(G79="warding","Anti-Magical","Physical"))))</f>
        <v/>
      </c>
      <c r="O79">
        <f>IF(F79&lt;&gt;"armor","","TBD")</f>
        <v/>
      </c>
      <c r="P79">
        <f>IF(O79="","",IF(OR(G79="channeling",G79="infusing"),"Magical",IF(G79="blocking","Anti-Physical",IF(G79="warding","Anti-Magical","Physical"))))</f>
        <v/>
      </c>
    </row>
    <row r="80">
      <c r="J80">
        <f>IF(G80="","",IFERROR(IF(G80="infusing",IFERROR(LOOKUP(2,1/ISNUMBER(SEARCH(_lookup!$D$3:$D$4,H80)),_lookup!$E$3:$E$4),"INT"),VLOOKUP(G80,_lookup!$A$3:$B$14,2,FALSE)),""))</f>
        <v/>
      </c>
      <c r="K80">
        <f>IF(F80&lt;&gt;"weapon","",IF(G80="miscellaneous","1-4",IF(I80="","",IFERROR(VLOOKUP(I80&amp;"|"&amp;IF(LEFT(H80,2)="2H",2,1)&amp;"|"&amp;IF(G80="slashing",1,0),_lookup!$G$3:$H$18,2,FALSE),""))))</f>
        <v/>
      </c>
      <c r="L80">
        <f>IF(K80="","",IF(OR(G80="channeling",G80="infusing"),"Magical",IF(G80="blocking","Anti-Physical",IF(G80="warding","Anti-Magical","Physical"))))</f>
        <v/>
      </c>
      <c r="O80">
        <f>IF(F80&lt;&gt;"armor","","TBD")</f>
        <v/>
      </c>
      <c r="P80">
        <f>IF(O80="","",IF(OR(G80="channeling",G80="infusing"),"Magical",IF(G80="blocking","Anti-Physical",IF(G80="warding","Anti-Magical","Physical"))))</f>
        <v/>
      </c>
    </row>
    <row r="81">
      <c r="J81">
        <f>IF(G81="","",IFERROR(IF(G81="infusing",IFERROR(LOOKUP(2,1/ISNUMBER(SEARCH(_lookup!$D$3:$D$4,H81)),_lookup!$E$3:$E$4),"INT"),VLOOKUP(G81,_lookup!$A$3:$B$14,2,FALSE)),""))</f>
        <v/>
      </c>
      <c r="K81">
        <f>IF(F81&lt;&gt;"weapon","",IF(G81="miscellaneous","1-4",IF(I81="","",IFERROR(VLOOKUP(I81&amp;"|"&amp;IF(LEFT(H81,2)="2H",2,1)&amp;"|"&amp;IF(G81="slashing",1,0),_lookup!$G$3:$H$18,2,FALSE),""))))</f>
        <v/>
      </c>
      <c r="L81">
        <f>IF(K81="","",IF(OR(G81="channeling",G81="infusing"),"Magical",IF(G81="blocking","Anti-Physical",IF(G81="warding","Anti-Magical","Physical"))))</f>
        <v/>
      </c>
      <c r="O81">
        <f>IF(F81&lt;&gt;"armor","","TBD")</f>
        <v/>
      </c>
      <c r="P81">
        <f>IF(O81="","",IF(OR(G81="channeling",G81="infusing"),"Magical",IF(G81="blocking","Anti-Physical",IF(G81="warding","Anti-Magical","Physical"))))</f>
        <v/>
      </c>
    </row>
    <row r="82">
      <c r="J82">
        <f>IF(G82="","",IFERROR(IF(G82="infusing",IFERROR(LOOKUP(2,1/ISNUMBER(SEARCH(_lookup!$D$3:$D$4,H82)),_lookup!$E$3:$E$4),"INT"),VLOOKUP(G82,_lookup!$A$3:$B$14,2,FALSE)),""))</f>
        <v/>
      </c>
      <c r="K82">
        <f>IF(F82&lt;&gt;"weapon","",IF(G82="miscellaneous","1-4",IF(I82="","",IFERROR(VLOOKUP(I82&amp;"|"&amp;IF(LEFT(H82,2)="2H",2,1)&amp;"|"&amp;IF(G82="slashing",1,0),_lookup!$G$3:$H$18,2,FALSE),""))))</f>
        <v/>
      </c>
      <c r="L82">
        <f>IF(K82="","",IF(OR(G82="channeling",G82="infusing"),"Magical",IF(G82="blocking","Anti-Physical",IF(G82="warding","Anti-Magical","Physical"))))</f>
        <v/>
      </c>
      <c r="O82">
        <f>IF(F82&lt;&gt;"armor","","TBD")</f>
        <v/>
      </c>
      <c r="P82">
        <f>IF(O82="","",IF(OR(G82="channeling",G82="infusing"),"Magical",IF(G82="blocking","Anti-Physical",IF(G82="warding","Anti-Magical","Physical"))))</f>
        <v/>
      </c>
    </row>
    <row r="83">
      <c r="J83">
        <f>IF(G83="","",IFERROR(IF(G83="infusing",IFERROR(LOOKUP(2,1/ISNUMBER(SEARCH(_lookup!$D$3:$D$4,H83)),_lookup!$E$3:$E$4),"INT"),VLOOKUP(G83,_lookup!$A$3:$B$14,2,FALSE)),""))</f>
        <v/>
      </c>
      <c r="K83">
        <f>IF(F83&lt;&gt;"weapon","",IF(G83="miscellaneous","1-4",IF(I83="","",IFERROR(VLOOKUP(I83&amp;"|"&amp;IF(LEFT(H83,2)="2H",2,1)&amp;"|"&amp;IF(G83="slashing",1,0),_lookup!$G$3:$H$18,2,FALSE),""))))</f>
        <v/>
      </c>
      <c r="L83">
        <f>IF(K83="","",IF(OR(G83="channeling",G83="infusing"),"Magical",IF(G83="blocking","Anti-Physical",IF(G83="warding","Anti-Magical","Physical"))))</f>
        <v/>
      </c>
      <c r="O83">
        <f>IF(F83&lt;&gt;"armor","","TBD")</f>
        <v/>
      </c>
      <c r="P83">
        <f>IF(O83="","",IF(OR(G83="channeling",G83="infusing"),"Magical",IF(G83="blocking","Anti-Physical",IF(G83="warding","Anti-Magical","Physical"))))</f>
        <v/>
      </c>
    </row>
    <row r="84">
      <c r="J84">
        <f>IF(G84="","",IFERROR(IF(G84="infusing",IFERROR(LOOKUP(2,1/ISNUMBER(SEARCH(_lookup!$D$3:$D$4,H84)),_lookup!$E$3:$E$4),"INT"),VLOOKUP(G84,_lookup!$A$3:$B$14,2,FALSE)),""))</f>
        <v/>
      </c>
      <c r="K84">
        <f>IF(F84&lt;&gt;"weapon","",IF(G84="miscellaneous","1-4",IF(I84="","",IFERROR(VLOOKUP(I84&amp;"|"&amp;IF(LEFT(H84,2)="2H",2,1)&amp;"|"&amp;IF(G84="slashing",1,0),_lookup!$G$3:$H$18,2,FALSE),""))))</f>
        <v/>
      </c>
      <c r="L84">
        <f>IF(K84="","",IF(OR(G84="channeling",G84="infusing"),"Magical",IF(G84="blocking","Anti-Physical",IF(G84="warding","Anti-Magical","Physical"))))</f>
        <v/>
      </c>
      <c r="O84">
        <f>IF(F84&lt;&gt;"armor","","TBD")</f>
        <v/>
      </c>
      <c r="P84">
        <f>IF(O84="","",IF(OR(G84="channeling",G84="infusing"),"Magical",IF(G84="blocking","Anti-Physical",IF(G84="warding","Anti-Magical","Physical"))))</f>
        <v/>
      </c>
    </row>
    <row r="85">
      <c r="J85">
        <f>IF(G85="","",IFERROR(IF(G85="infusing",IFERROR(LOOKUP(2,1/ISNUMBER(SEARCH(_lookup!$D$3:$D$4,H85)),_lookup!$E$3:$E$4),"INT"),VLOOKUP(G85,_lookup!$A$3:$B$14,2,FALSE)),""))</f>
        <v/>
      </c>
      <c r="K85">
        <f>IF(F85&lt;&gt;"weapon","",IF(G85="miscellaneous","1-4",IF(I85="","",IFERROR(VLOOKUP(I85&amp;"|"&amp;IF(LEFT(H85,2)="2H",2,1)&amp;"|"&amp;IF(G85="slashing",1,0),_lookup!$G$3:$H$18,2,FALSE),""))))</f>
        <v/>
      </c>
      <c r="L85">
        <f>IF(K85="","",IF(OR(G85="channeling",G85="infusing"),"Magical",IF(G85="blocking","Anti-Physical",IF(G85="warding","Anti-Magical","Physical"))))</f>
        <v/>
      </c>
      <c r="O85">
        <f>IF(F85&lt;&gt;"armor","","TBD")</f>
        <v/>
      </c>
      <c r="P85">
        <f>IF(O85="","",IF(OR(G85="channeling",G85="infusing"),"Magical",IF(G85="blocking","Anti-Physical",IF(G85="warding","Anti-Magical","Physical"))))</f>
        <v/>
      </c>
    </row>
    <row r="86">
      <c r="J86">
        <f>IF(G86="","",IFERROR(IF(G86="infusing",IFERROR(LOOKUP(2,1/ISNUMBER(SEARCH(_lookup!$D$3:$D$4,H86)),_lookup!$E$3:$E$4),"INT"),VLOOKUP(G86,_lookup!$A$3:$B$14,2,FALSE)),""))</f>
        <v/>
      </c>
      <c r="K86">
        <f>IF(F86&lt;&gt;"weapon","",IF(G86="miscellaneous","1-4",IF(I86="","",IFERROR(VLOOKUP(I86&amp;"|"&amp;IF(LEFT(H86,2)="2H",2,1)&amp;"|"&amp;IF(G86="slashing",1,0),_lookup!$G$3:$H$18,2,FALSE),""))))</f>
        <v/>
      </c>
      <c r="L86">
        <f>IF(K86="","",IF(OR(G86="channeling",G86="infusing"),"Magical",IF(G86="blocking","Anti-Physical",IF(G86="warding","Anti-Magical","Physical"))))</f>
        <v/>
      </c>
      <c r="O86">
        <f>IF(F86&lt;&gt;"armor","","TBD")</f>
        <v/>
      </c>
      <c r="P86">
        <f>IF(O86="","",IF(OR(G86="channeling",G86="infusing"),"Magical",IF(G86="blocking","Anti-Physical",IF(G86="warding","Anti-Magical","Physical"))))</f>
        <v/>
      </c>
    </row>
    <row r="87">
      <c r="J87">
        <f>IF(G87="","",IFERROR(IF(G87="infusing",IFERROR(LOOKUP(2,1/ISNUMBER(SEARCH(_lookup!$D$3:$D$4,H87)),_lookup!$E$3:$E$4),"INT"),VLOOKUP(G87,_lookup!$A$3:$B$14,2,FALSE)),""))</f>
        <v/>
      </c>
      <c r="K87">
        <f>IF(F87&lt;&gt;"weapon","",IF(G87="miscellaneous","1-4",IF(I87="","",IFERROR(VLOOKUP(I87&amp;"|"&amp;IF(LEFT(H87,2)="2H",2,1)&amp;"|"&amp;IF(G87="slashing",1,0),_lookup!$G$3:$H$18,2,FALSE),""))))</f>
        <v/>
      </c>
      <c r="L87">
        <f>IF(K87="","",IF(OR(G87="channeling",G87="infusing"),"Magical",IF(G87="blocking","Anti-Physical",IF(G87="warding","Anti-Magical","Physical"))))</f>
        <v/>
      </c>
      <c r="O87">
        <f>IF(F87&lt;&gt;"armor","","TBD")</f>
        <v/>
      </c>
      <c r="P87">
        <f>IF(O87="","",IF(OR(G87="channeling",G87="infusing"),"Magical",IF(G87="blocking","Anti-Physical",IF(G87="warding","Anti-Magical","Physical"))))</f>
        <v/>
      </c>
    </row>
    <row r="88">
      <c r="J88">
        <f>IF(G88="","",IFERROR(IF(G88="infusing",IFERROR(LOOKUP(2,1/ISNUMBER(SEARCH(_lookup!$D$3:$D$4,H88)),_lookup!$E$3:$E$4),"INT"),VLOOKUP(G88,_lookup!$A$3:$B$14,2,FALSE)),""))</f>
        <v/>
      </c>
      <c r="K88">
        <f>IF(F88&lt;&gt;"weapon","",IF(G88="miscellaneous","1-4",IF(I88="","",IFERROR(VLOOKUP(I88&amp;"|"&amp;IF(LEFT(H88,2)="2H",2,1)&amp;"|"&amp;IF(G88="slashing",1,0),_lookup!$G$3:$H$18,2,FALSE),""))))</f>
        <v/>
      </c>
      <c r="L88">
        <f>IF(K88="","",IF(OR(G88="channeling",G88="infusing"),"Magical",IF(G88="blocking","Anti-Physical",IF(G88="warding","Anti-Magical","Physical"))))</f>
        <v/>
      </c>
      <c r="O88">
        <f>IF(F88&lt;&gt;"armor","","TBD")</f>
        <v/>
      </c>
      <c r="P88">
        <f>IF(O88="","",IF(OR(G88="channeling",G88="infusing"),"Magical",IF(G88="blocking","Anti-Physical",IF(G88="warding","Anti-Magical","Physical"))))</f>
        <v/>
      </c>
    </row>
    <row r="89">
      <c r="J89">
        <f>IF(G89="","",IFERROR(IF(G89="infusing",IFERROR(LOOKUP(2,1/ISNUMBER(SEARCH(_lookup!$D$3:$D$4,H89)),_lookup!$E$3:$E$4),"INT"),VLOOKUP(G89,_lookup!$A$3:$B$14,2,FALSE)),""))</f>
        <v/>
      </c>
      <c r="K89">
        <f>IF(F89&lt;&gt;"weapon","",IF(G89="miscellaneous","1-4",IF(I89="","",IFERROR(VLOOKUP(I89&amp;"|"&amp;IF(LEFT(H89,2)="2H",2,1)&amp;"|"&amp;IF(G89="slashing",1,0),_lookup!$G$3:$H$18,2,FALSE),""))))</f>
        <v/>
      </c>
      <c r="L89">
        <f>IF(K89="","",IF(OR(G89="channeling",G89="infusing"),"Magical",IF(G89="blocking","Anti-Physical",IF(G89="warding","Anti-Magical","Physical"))))</f>
        <v/>
      </c>
      <c r="O89">
        <f>IF(F89&lt;&gt;"armor","","TBD")</f>
        <v/>
      </c>
      <c r="P89">
        <f>IF(O89="","",IF(OR(G89="channeling",G89="infusing"),"Magical",IF(G89="blocking","Anti-Physical",IF(G89="warding","Anti-Magical","Physical"))))</f>
        <v/>
      </c>
    </row>
    <row r="90">
      <c r="J90">
        <f>IF(G90="","",IFERROR(IF(G90="infusing",IFERROR(LOOKUP(2,1/ISNUMBER(SEARCH(_lookup!$D$3:$D$4,H90)),_lookup!$E$3:$E$4),"INT"),VLOOKUP(G90,_lookup!$A$3:$B$14,2,FALSE)),""))</f>
        <v/>
      </c>
      <c r="K90">
        <f>IF(F90&lt;&gt;"weapon","",IF(G90="miscellaneous","1-4",IF(I90="","",IFERROR(VLOOKUP(I90&amp;"|"&amp;IF(LEFT(H90,2)="2H",2,1)&amp;"|"&amp;IF(G90="slashing",1,0),_lookup!$G$3:$H$18,2,FALSE),""))))</f>
        <v/>
      </c>
      <c r="L90">
        <f>IF(K90="","",IF(OR(G90="channeling",G90="infusing"),"Magical",IF(G90="blocking","Anti-Physical",IF(G90="warding","Anti-Magical","Physical"))))</f>
        <v/>
      </c>
      <c r="O90">
        <f>IF(F90&lt;&gt;"armor","","TBD")</f>
        <v/>
      </c>
      <c r="P90">
        <f>IF(O90="","",IF(OR(G90="channeling",G90="infusing"),"Magical",IF(G90="blocking","Anti-Physical",IF(G90="warding","Anti-Magical","Physical"))))</f>
        <v/>
      </c>
    </row>
    <row r="91">
      <c r="J91">
        <f>IF(G91="","",IFERROR(IF(G91="infusing",IFERROR(LOOKUP(2,1/ISNUMBER(SEARCH(_lookup!$D$3:$D$4,H91)),_lookup!$E$3:$E$4),"INT"),VLOOKUP(G91,_lookup!$A$3:$B$14,2,FALSE)),""))</f>
        <v/>
      </c>
      <c r="K91">
        <f>IF(F91&lt;&gt;"weapon","",IF(G91="miscellaneous","1-4",IF(I91="","",IFERROR(VLOOKUP(I91&amp;"|"&amp;IF(LEFT(H91,2)="2H",2,1)&amp;"|"&amp;IF(G91="slashing",1,0),_lookup!$G$3:$H$18,2,FALSE),""))))</f>
        <v/>
      </c>
      <c r="L91">
        <f>IF(K91="","",IF(OR(G91="channeling",G91="infusing"),"Magical",IF(G91="blocking","Anti-Physical",IF(G91="warding","Anti-Magical","Physical"))))</f>
        <v/>
      </c>
      <c r="O91">
        <f>IF(F91&lt;&gt;"armor","","TBD")</f>
        <v/>
      </c>
      <c r="P91">
        <f>IF(O91="","",IF(OR(G91="channeling",G91="infusing"),"Magical",IF(G91="blocking","Anti-Physical",IF(G91="warding","Anti-Magical","Physical"))))</f>
        <v/>
      </c>
    </row>
    <row r="92">
      <c r="J92">
        <f>IF(G92="","",IFERROR(IF(G92="infusing",IFERROR(LOOKUP(2,1/ISNUMBER(SEARCH(_lookup!$D$3:$D$4,H92)),_lookup!$E$3:$E$4),"INT"),VLOOKUP(G92,_lookup!$A$3:$B$14,2,FALSE)),""))</f>
        <v/>
      </c>
      <c r="K92">
        <f>IF(F92&lt;&gt;"weapon","",IF(G92="miscellaneous","1-4",IF(I92="","",IFERROR(VLOOKUP(I92&amp;"|"&amp;IF(LEFT(H92,2)="2H",2,1)&amp;"|"&amp;IF(G92="slashing",1,0),_lookup!$G$3:$H$18,2,FALSE),""))))</f>
        <v/>
      </c>
      <c r="L92">
        <f>IF(K92="","",IF(OR(G92="channeling",G92="infusing"),"Magical",IF(G92="blocking","Anti-Physical",IF(G92="warding","Anti-Magical","Physical"))))</f>
        <v/>
      </c>
      <c r="O92">
        <f>IF(F92&lt;&gt;"armor","","TBD")</f>
        <v/>
      </c>
      <c r="P92">
        <f>IF(O92="","",IF(OR(G92="channeling",G92="infusing"),"Magical",IF(G92="blocking","Anti-Physical",IF(G92="warding","Anti-Magical","Physical"))))</f>
        <v/>
      </c>
    </row>
    <row r="93">
      <c r="J93">
        <f>IF(G93="","",IFERROR(IF(G93="infusing",IFERROR(LOOKUP(2,1/ISNUMBER(SEARCH(_lookup!$D$3:$D$4,H93)),_lookup!$E$3:$E$4),"INT"),VLOOKUP(G93,_lookup!$A$3:$B$14,2,FALSE)),""))</f>
        <v/>
      </c>
      <c r="K93">
        <f>IF(F93&lt;&gt;"weapon","",IF(G93="miscellaneous","1-4",IF(I93="","",IFERROR(VLOOKUP(I93&amp;"|"&amp;IF(LEFT(H93,2)="2H",2,1)&amp;"|"&amp;IF(G93="slashing",1,0),_lookup!$G$3:$H$18,2,FALSE),""))))</f>
        <v/>
      </c>
      <c r="L93">
        <f>IF(K93="","",IF(OR(G93="channeling",G93="infusing"),"Magical",IF(G93="blocking","Anti-Physical",IF(G93="warding","Anti-Magical","Physical"))))</f>
        <v/>
      </c>
      <c r="O93">
        <f>IF(F93&lt;&gt;"armor","","TBD")</f>
        <v/>
      </c>
      <c r="P93">
        <f>IF(O93="","",IF(OR(G93="channeling",G93="infusing"),"Magical",IF(G93="blocking","Anti-Physical",IF(G93="warding","Anti-Magical","Physical"))))</f>
        <v/>
      </c>
    </row>
    <row r="94">
      <c r="J94">
        <f>IF(G94="","",IFERROR(IF(G94="infusing",IFERROR(LOOKUP(2,1/ISNUMBER(SEARCH(_lookup!$D$3:$D$4,H94)),_lookup!$E$3:$E$4),"INT"),VLOOKUP(G94,_lookup!$A$3:$B$14,2,FALSE)),""))</f>
        <v/>
      </c>
      <c r="K94">
        <f>IF(F94&lt;&gt;"weapon","",IF(G94="miscellaneous","1-4",IF(I94="","",IFERROR(VLOOKUP(I94&amp;"|"&amp;IF(LEFT(H94,2)="2H",2,1)&amp;"|"&amp;IF(G94="slashing",1,0),_lookup!$G$3:$H$18,2,FALSE),""))))</f>
        <v/>
      </c>
      <c r="L94">
        <f>IF(K94="","",IF(OR(G94="channeling",G94="infusing"),"Magical",IF(G94="blocking","Anti-Physical",IF(G94="warding","Anti-Magical","Physical"))))</f>
        <v/>
      </c>
      <c r="O94">
        <f>IF(F94&lt;&gt;"armor","","TBD")</f>
        <v/>
      </c>
      <c r="P94">
        <f>IF(O94="","",IF(OR(G94="channeling",G94="infusing"),"Magical",IF(G94="blocking","Anti-Physical",IF(G94="warding","Anti-Magical","Physical"))))</f>
        <v/>
      </c>
    </row>
    <row r="95">
      <c r="J95">
        <f>IF(G95="","",IFERROR(IF(G95="infusing",IFERROR(LOOKUP(2,1/ISNUMBER(SEARCH(_lookup!$D$3:$D$4,H95)),_lookup!$E$3:$E$4),"INT"),VLOOKUP(G95,_lookup!$A$3:$B$14,2,FALSE)),""))</f>
        <v/>
      </c>
      <c r="K95">
        <f>IF(F95&lt;&gt;"weapon","",IF(G95="miscellaneous","1-4",IF(I95="","",IFERROR(VLOOKUP(I95&amp;"|"&amp;IF(LEFT(H95,2)="2H",2,1)&amp;"|"&amp;IF(G95="slashing",1,0),_lookup!$G$3:$H$18,2,FALSE),""))))</f>
        <v/>
      </c>
      <c r="L95">
        <f>IF(K95="","",IF(OR(G95="channeling",G95="infusing"),"Magical",IF(G95="blocking","Anti-Physical",IF(G95="warding","Anti-Magical","Physical"))))</f>
        <v/>
      </c>
      <c r="O95">
        <f>IF(F95&lt;&gt;"armor","","TBD")</f>
        <v/>
      </c>
      <c r="P95">
        <f>IF(O95="","",IF(OR(G95="channeling",G95="infusing"),"Magical",IF(G95="blocking","Anti-Physical",IF(G95="warding","Anti-Magical","Physical"))))</f>
        <v/>
      </c>
    </row>
    <row r="96">
      <c r="J96">
        <f>IF(G96="","",IFERROR(IF(G96="infusing",IFERROR(LOOKUP(2,1/ISNUMBER(SEARCH(_lookup!$D$3:$D$4,H96)),_lookup!$E$3:$E$4),"INT"),VLOOKUP(G96,_lookup!$A$3:$B$14,2,FALSE)),""))</f>
        <v/>
      </c>
      <c r="K96">
        <f>IF(F96&lt;&gt;"weapon","",IF(G96="miscellaneous","1-4",IF(I96="","",IFERROR(VLOOKUP(I96&amp;"|"&amp;IF(LEFT(H96,2)="2H",2,1)&amp;"|"&amp;IF(G96="slashing",1,0),_lookup!$G$3:$H$18,2,FALSE),""))))</f>
        <v/>
      </c>
      <c r="L96">
        <f>IF(K96="","",IF(OR(G96="channeling",G96="infusing"),"Magical",IF(G96="blocking","Anti-Physical",IF(G96="warding","Anti-Magical","Physical"))))</f>
        <v/>
      </c>
      <c r="O96">
        <f>IF(F96&lt;&gt;"armor","","TBD")</f>
        <v/>
      </c>
      <c r="P96">
        <f>IF(O96="","",IF(OR(G96="channeling",G96="infusing"),"Magical",IF(G96="blocking","Anti-Physical",IF(G96="warding","Anti-Magical","Physical"))))</f>
        <v/>
      </c>
    </row>
    <row r="97">
      <c r="J97">
        <f>IF(G97="","",IFERROR(IF(G97="infusing",IFERROR(LOOKUP(2,1/ISNUMBER(SEARCH(_lookup!$D$3:$D$4,H97)),_lookup!$E$3:$E$4),"INT"),VLOOKUP(G97,_lookup!$A$3:$B$14,2,FALSE)),""))</f>
        <v/>
      </c>
      <c r="K97">
        <f>IF(F97&lt;&gt;"weapon","",IF(G97="miscellaneous","1-4",IF(I97="","",IFERROR(VLOOKUP(I97&amp;"|"&amp;IF(LEFT(H97,2)="2H",2,1)&amp;"|"&amp;IF(G97="slashing",1,0),_lookup!$G$3:$H$18,2,FALSE),""))))</f>
        <v/>
      </c>
      <c r="L97">
        <f>IF(K97="","",IF(OR(G97="channeling",G97="infusing"),"Magical",IF(G97="blocking","Anti-Physical",IF(G97="warding","Anti-Magical","Physical"))))</f>
        <v/>
      </c>
      <c r="O97">
        <f>IF(F97&lt;&gt;"armor","","TBD")</f>
        <v/>
      </c>
      <c r="P97">
        <f>IF(O97="","",IF(OR(G97="channeling",G97="infusing"),"Magical",IF(G97="blocking","Anti-Physical",IF(G97="warding","Anti-Magical","Physical"))))</f>
        <v/>
      </c>
    </row>
    <row r="98">
      <c r="J98">
        <f>IF(G98="","",IFERROR(IF(G98="infusing",IFERROR(LOOKUP(2,1/ISNUMBER(SEARCH(_lookup!$D$3:$D$4,H98)),_lookup!$E$3:$E$4),"INT"),VLOOKUP(G98,_lookup!$A$3:$B$14,2,FALSE)),""))</f>
        <v/>
      </c>
      <c r="K98">
        <f>IF(F98&lt;&gt;"weapon","",IF(G98="miscellaneous","1-4",IF(I98="","",IFERROR(VLOOKUP(I98&amp;"|"&amp;IF(LEFT(H98,2)="2H",2,1)&amp;"|"&amp;IF(G98="slashing",1,0),_lookup!$G$3:$H$18,2,FALSE),""))))</f>
        <v/>
      </c>
      <c r="L98">
        <f>IF(K98="","",IF(OR(G98="channeling",G98="infusing"),"Magical",IF(G98="blocking","Anti-Physical",IF(G98="warding","Anti-Magical","Physical"))))</f>
        <v/>
      </c>
      <c r="O98">
        <f>IF(F98&lt;&gt;"armor","","TBD")</f>
        <v/>
      </c>
      <c r="P98">
        <f>IF(O98="","",IF(OR(G98="channeling",G98="infusing"),"Magical",IF(G98="blocking","Anti-Physical",IF(G98="warding","Anti-Magical","Physical"))))</f>
        <v/>
      </c>
    </row>
    <row r="99">
      <c r="J99">
        <f>IF(G99="","",IFERROR(IF(G99="infusing",IFERROR(LOOKUP(2,1/ISNUMBER(SEARCH(_lookup!$D$3:$D$4,H99)),_lookup!$E$3:$E$4),"INT"),VLOOKUP(G99,_lookup!$A$3:$B$14,2,FALSE)),""))</f>
        <v/>
      </c>
      <c r="K99">
        <f>IF(F99&lt;&gt;"weapon","",IF(G99="miscellaneous","1-4",IF(I99="","",IFERROR(VLOOKUP(I99&amp;"|"&amp;IF(LEFT(H99,2)="2H",2,1)&amp;"|"&amp;IF(G99="slashing",1,0),_lookup!$G$3:$H$18,2,FALSE),""))))</f>
        <v/>
      </c>
      <c r="L99">
        <f>IF(K99="","",IF(OR(G99="channeling",G99="infusing"),"Magical",IF(G99="blocking","Anti-Physical",IF(G99="warding","Anti-Magical","Physical"))))</f>
        <v/>
      </c>
      <c r="O99">
        <f>IF(F99&lt;&gt;"armor","","TBD")</f>
        <v/>
      </c>
      <c r="P99">
        <f>IF(O99="","",IF(OR(G99="channeling",G99="infusing"),"Magical",IF(G99="blocking","Anti-Physical",IF(G99="warding","Anti-Magical","Physical"))))</f>
        <v/>
      </c>
    </row>
    <row r="100">
      <c r="J100">
        <f>IF(G100="","",IFERROR(IF(G100="infusing",IFERROR(LOOKUP(2,1/ISNUMBER(SEARCH(_lookup!$D$3:$D$4,H100)),_lookup!$E$3:$E$4),"INT"),VLOOKUP(G100,_lookup!$A$3:$B$14,2,FALSE)),""))</f>
        <v/>
      </c>
      <c r="K100">
        <f>IF(F100&lt;&gt;"weapon","",IF(G100="miscellaneous","1-4",IF(I100="","",IFERROR(VLOOKUP(I100&amp;"|"&amp;IF(LEFT(H100,2)="2H",2,1)&amp;"|"&amp;IF(G100="slashing",1,0),_lookup!$G$3:$H$18,2,FALSE),""))))</f>
        <v/>
      </c>
      <c r="L100">
        <f>IF(K100="","",IF(OR(G100="channeling",G100="infusing"),"Magical",IF(G100="blocking","Anti-Physical",IF(G100="warding","Anti-Magical","Physical"))))</f>
        <v/>
      </c>
      <c r="O100">
        <f>IF(F100&lt;&gt;"armor","","TBD")</f>
        <v/>
      </c>
      <c r="P100">
        <f>IF(O100="","",IF(OR(G100="channeling",G100="infusing"),"Magical",IF(G100="blocking","Anti-Physical",IF(G100="warding","Anti-Magical","Physical"))))</f>
        <v/>
      </c>
    </row>
    <row r="101">
      <c r="J101">
        <f>IF(G101="","",IFERROR(IF(G101="infusing",IFERROR(LOOKUP(2,1/ISNUMBER(SEARCH(_lookup!$D$3:$D$4,H101)),_lookup!$E$3:$E$4),"INT"),VLOOKUP(G101,_lookup!$A$3:$B$14,2,FALSE)),""))</f>
        <v/>
      </c>
      <c r="K101">
        <f>IF(F101&lt;&gt;"weapon","",IF(G101="miscellaneous","1-4",IF(I101="","",IFERROR(VLOOKUP(I101&amp;"|"&amp;IF(LEFT(H101,2)="2H",2,1)&amp;"|"&amp;IF(G101="slashing",1,0),_lookup!$G$3:$H$18,2,FALSE),""))))</f>
        <v/>
      </c>
      <c r="L101">
        <f>IF(K101="","",IF(OR(G101="channeling",G101="infusing"),"Magical",IF(G101="blocking","Anti-Physical",IF(G101="warding","Anti-Magical","Physical"))))</f>
        <v/>
      </c>
      <c r="O101">
        <f>IF(F101&lt;&gt;"armor","","TBD")</f>
        <v/>
      </c>
      <c r="P101">
        <f>IF(O101="","",IF(OR(G101="channeling",G101="infusing"),"Magical",IF(G101="blocking","Anti-Physical",IF(G101="warding","Anti-Magical","Physical"))))</f>
        <v/>
      </c>
    </row>
    <row r="102">
      <c r="J102">
        <f>IF(G102="","",IFERROR(IF(G102="infusing",IFERROR(LOOKUP(2,1/ISNUMBER(SEARCH(_lookup!$D$3:$D$4,H102)),_lookup!$E$3:$E$4),"INT"),VLOOKUP(G102,_lookup!$A$3:$B$14,2,FALSE)),""))</f>
        <v/>
      </c>
      <c r="K102">
        <f>IF(F102&lt;&gt;"weapon","",IF(G102="miscellaneous","1-4",IF(I102="","",IFERROR(VLOOKUP(I102&amp;"|"&amp;IF(LEFT(H102,2)="2H",2,1)&amp;"|"&amp;IF(G102="slashing",1,0),_lookup!$G$3:$H$18,2,FALSE),""))))</f>
        <v/>
      </c>
      <c r="L102">
        <f>IF(K102="","",IF(OR(G102="channeling",G102="infusing"),"Magical",IF(G102="blocking","Anti-Physical",IF(G102="warding","Anti-Magical","Physical"))))</f>
        <v/>
      </c>
      <c r="O102">
        <f>IF(F102&lt;&gt;"armor","","TBD")</f>
        <v/>
      </c>
      <c r="P102">
        <f>IF(O102="","",IF(OR(G102="channeling",G102="infusing"),"Magical",IF(G102="blocking","Anti-Physical",IF(G102="warding","Anti-Magical","Physical"))))</f>
        <v/>
      </c>
    </row>
    <row r="103">
      <c r="J103">
        <f>IF(G103="","",IFERROR(IF(G103="infusing",IFERROR(LOOKUP(2,1/ISNUMBER(SEARCH(_lookup!$D$3:$D$4,H103)),_lookup!$E$3:$E$4),"INT"),VLOOKUP(G103,_lookup!$A$3:$B$14,2,FALSE)),""))</f>
        <v/>
      </c>
      <c r="K103">
        <f>IF(F103&lt;&gt;"weapon","",IF(G103="miscellaneous","1-4",IF(I103="","",IFERROR(VLOOKUP(I103&amp;"|"&amp;IF(LEFT(H103,2)="2H",2,1)&amp;"|"&amp;IF(G103="slashing",1,0),_lookup!$G$3:$H$18,2,FALSE),""))))</f>
        <v/>
      </c>
      <c r="L103">
        <f>IF(K103="","",IF(OR(G103="channeling",G103="infusing"),"Magical",IF(G103="blocking","Anti-Physical",IF(G103="warding","Anti-Magical","Physical"))))</f>
        <v/>
      </c>
      <c r="O103">
        <f>IF(F103&lt;&gt;"armor","","TBD")</f>
        <v/>
      </c>
      <c r="P103">
        <f>IF(O103="","",IF(OR(G103="channeling",G103="infusing"),"Magical",IF(G103="blocking","Anti-Physical",IF(G103="warding","Anti-Magical","Physical"))))</f>
        <v/>
      </c>
    </row>
    <row r="104">
      <c r="J104">
        <f>IF(G104="","",IFERROR(IF(G104="infusing",IFERROR(LOOKUP(2,1/ISNUMBER(SEARCH(_lookup!$D$3:$D$4,H104)),_lookup!$E$3:$E$4),"INT"),VLOOKUP(G104,_lookup!$A$3:$B$14,2,FALSE)),""))</f>
        <v/>
      </c>
      <c r="K104">
        <f>IF(F104&lt;&gt;"weapon","",IF(G104="miscellaneous","1-4",IF(I104="","",IFERROR(VLOOKUP(I104&amp;"|"&amp;IF(LEFT(H104,2)="2H",2,1)&amp;"|"&amp;IF(G104="slashing",1,0),_lookup!$G$3:$H$18,2,FALSE),""))))</f>
        <v/>
      </c>
      <c r="L104">
        <f>IF(K104="","",IF(OR(G104="channeling",G104="infusing"),"Magical",IF(G104="blocking","Anti-Physical",IF(G104="warding","Anti-Magical","Physical"))))</f>
        <v/>
      </c>
      <c r="O104">
        <f>IF(F104&lt;&gt;"armor","","TBD")</f>
        <v/>
      </c>
      <c r="P104">
        <f>IF(O104="","",IF(OR(G104="channeling",G104="infusing"),"Magical",IF(G104="blocking","Anti-Physical",IF(G104="warding","Anti-Magical","Physical"))))</f>
        <v/>
      </c>
    </row>
    <row r="105">
      <c r="J105">
        <f>IF(G105="","",IFERROR(IF(G105="infusing",IFERROR(LOOKUP(2,1/ISNUMBER(SEARCH(_lookup!$D$3:$D$4,H105)),_lookup!$E$3:$E$4),"INT"),VLOOKUP(G105,_lookup!$A$3:$B$14,2,FALSE)),""))</f>
        <v/>
      </c>
      <c r="K105">
        <f>IF(F105&lt;&gt;"weapon","",IF(G105="miscellaneous","1-4",IF(I105="","",IFERROR(VLOOKUP(I105&amp;"|"&amp;IF(LEFT(H105,2)="2H",2,1)&amp;"|"&amp;IF(G105="slashing",1,0),_lookup!$G$3:$H$18,2,FALSE),""))))</f>
        <v/>
      </c>
      <c r="L105">
        <f>IF(K105="","",IF(OR(G105="channeling",G105="infusing"),"Magical",IF(G105="blocking","Anti-Physical",IF(G105="warding","Anti-Magical","Physical"))))</f>
        <v/>
      </c>
      <c r="O105">
        <f>IF(F105&lt;&gt;"armor","","TBD")</f>
        <v/>
      </c>
      <c r="P105">
        <f>IF(O105="","",IF(OR(G105="channeling",G105="infusing"),"Magical",IF(G105="blocking","Anti-Physical",IF(G105="warding","Anti-Magical","Physical"))))</f>
        <v/>
      </c>
    </row>
    <row r="106">
      <c r="J106">
        <f>IF(G106="","",IFERROR(IF(G106="infusing",IFERROR(LOOKUP(2,1/ISNUMBER(SEARCH(_lookup!$D$3:$D$4,H106)),_lookup!$E$3:$E$4),"INT"),VLOOKUP(G106,_lookup!$A$3:$B$14,2,FALSE)),""))</f>
        <v/>
      </c>
      <c r="K106">
        <f>IF(F106&lt;&gt;"weapon","",IF(G106="miscellaneous","1-4",IF(I106="","",IFERROR(VLOOKUP(I106&amp;"|"&amp;IF(LEFT(H106,2)="2H",2,1)&amp;"|"&amp;IF(G106="slashing",1,0),_lookup!$G$3:$H$18,2,FALSE),""))))</f>
        <v/>
      </c>
      <c r="L106">
        <f>IF(K106="","",IF(OR(G106="channeling",G106="infusing"),"Magical",IF(G106="blocking","Anti-Physical",IF(G106="warding","Anti-Magical","Physical"))))</f>
        <v/>
      </c>
      <c r="O106">
        <f>IF(F106&lt;&gt;"armor","","TBD")</f>
        <v/>
      </c>
      <c r="P106">
        <f>IF(O106="","",IF(OR(G106="channeling",G106="infusing"),"Magical",IF(G106="blocking","Anti-Physical",IF(G106="warding","Anti-Magical","Physical"))))</f>
        <v/>
      </c>
    </row>
    <row r="107">
      <c r="J107">
        <f>IF(G107="","",IFERROR(IF(G107="infusing",IFERROR(LOOKUP(2,1/ISNUMBER(SEARCH(_lookup!$D$3:$D$4,H107)),_lookup!$E$3:$E$4),"INT"),VLOOKUP(G107,_lookup!$A$3:$B$14,2,FALSE)),""))</f>
        <v/>
      </c>
      <c r="K107">
        <f>IF(F107&lt;&gt;"weapon","",IF(G107="miscellaneous","1-4",IF(I107="","",IFERROR(VLOOKUP(I107&amp;"|"&amp;IF(LEFT(H107,2)="2H",2,1)&amp;"|"&amp;IF(G107="slashing",1,0),_lookup!$G$3:$H$18,2,FALSE),""))))</f>
        <v/>
      </c>
      <c r="L107">
        <f>IF(K107="","",IF(OR(G107="channeling",G107="infusing"),"Magical",IF(G107="blocking","Anti-Physical",IF(G107="warding","Anti-Magical","Physical"))))</f>
        <v/>
      </c>
      <c r="O107">
        <f>IF(F107&lt;&gt;"armor","","TBD")</f>
        <v/>
      </c>
      <c r="P107">
        <f>IF(O107="","",IF(OR(G107="channeling",G107="infusing"),"Magical",IF(G107="blocking","Anti-Physical",IF(G107="warding","Anti-Magical","Physical"))))</f>
        <v/>
      </c>
    </row>
    <row r="108">
      <c r="J108">
        <f>IF(G108="","",IFERROR(IF(G108="infusing",IFERROR(LOOKUP(2,1/ISNUMBER(SEARCH(_lookup!$D$3:$D$4,H108)),_lookup!$E$3:$E$4),"INT"),VLOOKUP(G108,_lookup!$A$3:$B$14,2,FALSE)),""))</f>
        <v/>
      </c>
      <c r="K108">
        <f>IF(F108&lt;&gt;"weapon","",IF(G108="miscellaneous","1-4",IF(I108="","",IFERROR(VLOOKUP(I108&amp;"|"&amp;IF(LEFT(H108,2)="2H",2,1)&amp;"|"&amp;IF(G108="slashing",1,0),_lookup!$G$3:$H$18,2,FALSE),""))))</f>
        <v/>
      </c>
      <c r="L108">
        <f>IF(K108="","",IF(OR(G108="channeling",G108="infusing"),"Magical",IF(G108="blocking","Anti-Physical",IF(G108="warding","Anti-Magical","Physical"))))</f>
        <v/>
      </c>
      <c r="O108">
        <f>IF(F108&lt;&gt;"armor","","TBD")</f>
        <v/>
      </c>
      <c r="P108">
        <f>IF(O108="","",IF(OR(G108="channeling",G108="infusing"),"Magical",IF(G108="blocking","Anti-Physical",IF(G108="warding","Anti-Magical","Physical"))))</f>
        <v/>
      </c>
    </row>
    <row r="109">
      <c r="J109">
        <f>IF(G109="","",IFERROR(IF(G109="infusing",IFERROR(LOOKUP(2,1/ISNUMBER(SEARCH(_lookup!$D$3:$D$4,H109)),_lookup!$E$3:$E$4),"INT"),VLOOKUP(G109,_lookup!$A$3:$B$14,2,FALSE)),""))</f>
        <v/>
      </c>
      <c r="K109">
        <f>IF(F109&lt;&gt;"weapon","",IF(G109="miscellaneous","1-4",IF(I109="","",IFERROR(VLOOKUP(I109&amp;"|"&amp;IF(LEFT(H109,2)="2H",2,1)&amp;"|"&amp;IF(G109="slashing",1,0),_lookup!$G$3:$H$18,2,FALSE),""))))</f>
        <v/>
      </c>
      <c r="L109">
        <f>IF(K109="","",IF(OR(G109="channeling",G109="infusing"),"Magical",IF(G109="blocking","Anti-Physical",IF(G109="warding","Anti-Magical","Physical"))))</f>
        <v/>
      </c>
      <c r="O109">
        <f>IF(F109&lt;&gt;"armor","","TBD")</f>
        <v/>
      </c>
      <c r="P109">
        <f>IF(O109="","",IF(OR(G109="channeling",G109="infusing"),"Magical",IF(G109="blocking","Anti-Physical",IF(G109="warding","Anti-Magical","Physical"))))</f>
        <v/>
      </c>
    </row>
    <row r="110">
      <c r="J110">
        <f>IF(G110="","",IFERROR(IF(G110="infusing",IFERROR(LOOKUP(2,1/ISNUMBER(SEARCH(_lookup!$D$3:$D$4,H110)),_lookup!$E$3:$E$4),"INT"),VLOOKUP(G110,_lookup!$A$3:$B$14,2,FALSE)),""))</f>
        <v/>
      </c>
      <c r="K110">
        <f>IF(F110&lt;&gt;"weapon","",IF(G110="miscellaneous","1-4",IF(I110="","",IFERROR(VLOOKUP(I110&amp;"|"&amp;IF(LEFT(H110,2)="2H",2,1)&amp;"|"&amp;IF(G110="slashing",1,0),_lookup!$G$3:$H$18,2,FALSE),""))))</f>
        <v/>
      </c>
      <c r="L110">
        <f>IF(K110="","",IF(OR(G110="channeling",G110="infusing"),"Magical",IF(G110="blocking","Anti-Physical",IF(G110="warding","Anti-Magical","Physical"))))</f>
        <v/>
      </c>
      <c r="O110">
        <f>IF(F110&lt;&gt;"armor","","TBD")</f>
        <v/>
      </c>
      <c r="P110">
        <f>IF(O110="","",IF(OR(G110="channeling",G110="infusing"),"Magical",IF(G110="blocking","Anti-Physical",IF(G110="warding","Anti-Magical","Physical"))))</f>
        <v/>
      </c>
    </row>
    <row r="111">
      <c r="J111">
        <f>IF(G111="","",IFERROR(IF(G111="infusing",IFERROR(LOOKUP(2,1/ISNUMBER(SEARCH(_lookup!$D$3:$D$4,H111)),_lookup!$E$3:$E$4),"INT"),VLOOKUP(G111,_lookup!$A$3:$B$14,2,FALSE)),""))</f>
        <v/>
      </c>
      <c r="K111">
        <f>IF(F111&lt;&gt;"weapon","",IF(G111="miscellaneous","1-4",IF(I111="","",IFERROR(VLOOKUP(I111&amp;"|"&amp;IF(LEFT(H111,2)="2H",2,1)&amp;"|"&amp;IF(G111="slashing",1,0),_lookup!$G$3:$H$18,2,FALSE),""))))</f>
        <v/>
      </c>
      <c r="L111">
        <f>IF(K111="","",IF(OR(G111="channeling",G111="infusing"),"Magical",IF(G111="blocking","Anti-Physical",IF(G111="warding","Anti-Magical","Physical"))))</f>
        <v/>
      </c>
      <c r="O111">
        <f>IF(F111&lt;&gt;"armor","","TBD")</f>
        <v/>
      </c>
      <c r="P111">
        <f>IF(O111="","",IF(OR(G111="channeling",G111="infusing"),"Magical",IF(G111="blocking","Anti-Physical",IF(G111="warding","Anti-Magical","Physical"))))</f>
        <v/>
      </c>
    </row>
    <row r="112">
      <c r="J112">
        <f>IF(G112="","",IFERROR(IF(G112="infusing",IFERROR(LOOKUP(2,1/ISNUMBER(SEARCH(_lookup!$D$3:$D$4,H112)),_lookup!$E$3:$E$4),"INT"),VLOOKUP(G112,_lookup!$A$3:$B$14,2,FALSE)),""))</f>
        <v/>
      </c>
      <c r="K112">
        <f>IF(F112&lt;&gt;"weapon","",IF(G112="miscellaneous","1-4",IF(I112="","",IFERROR(VLOOKUP(I112&amp;"|"&amp;IF(LEFT(H112,2)="2H",2,1)&amp;"|"&amp;IF(G112="slashing",1,0),_lookup!$G$3:$H$18,2,FALSE),""))))</f>
        <v/>
      </c>
      <c r="L112">
        <f>IF(K112="","",IF(OR(G112="channeling",G112="infusing"),"Magical",IF(G112="blocking","Anti-Physical",IF(G112="warding","Anti-Magical","Physical"))))</f>
        <v/>
      </c>
      <c r="O112">
        <f>IF(F112&lt;&gt;"armor","","TBD")</f>
        <v/>
      </c>
      <c r="P112">
        <f>IF(O112="","",IF(OR(G112="channeling",G112="infusing"),"Magical",IF(G112="blocking","Anti-Physical",IF(G112="warding","Anti-Magical","Physical"))))</f>
        <v/>
      </c>
    </row>
    <row r="113">
      <c r="J113">
        <f>IF(G113="","",IFERROR(IF(G113="infusing",IFERROR(LOOKUP(2,1/ISNUMBER(SEARCH(_lookup!$D$3:$D$4,H113)),_lookup!$E$3:$E$4),"INT"),VLOOKUP(G113,_lookup!$A$3:$B$14,2,FALSE)),""))</f>
        <v/>
      </c>
      <c r="K113">
        <f>IF(F113&lt;&gt;"weapon","",IF(G113="miscellaneous","1-4",IF(I113="","",IFERROR(VLOOKUP(I113&amp;"|"&amp;IF(LEFT(H113,2)="2H",2,1)&amp;"|"&amp;IF(G113="slashing",1,0),_lookup!$G$3:$H$18,2,FALSE),""))))</f>
        <v/>
      </c>
      <c r="L113">
        <f>IF(K113="","",IF(OR(G113="channeling",G113="infusing"),"Magical",IF(G113="blocking","Anti-Physical",IF(G113="warding","Anti-Magical","Physical"))))</f>
        <v/>
      </c>
      <c r="O113">
        <f>IF(F113&lt;&gt;"armor","","TBD")</f>
        <v/>
      </c>
      <c r="P113">
        <f>IF(O113="","",IF(OR(G113="channeling",G113="infusing"),"Magical",IF(G113="blocking","Anti-Physical",IF(G113="warding","Anti-Magical","Physical"))))</f>
        <v/>
      </c>
    </row>
    <row r="114">
      <c r="J114">
        <f>IF(G114="","",IFERROR(IF(G114="infusing",IFERROR(LOOKUP(2,1/ISNUMBER(SEARCH(_lookup!$D$3:$D$4,H114)),_lookup!$E$3:$E$4),"INT"),VLOOKUP(G114,_lookup!$A$3:$B$14,2,FALSE)),""))</f>
        <v/>
      </c>
      <c r="K114">
        <f>IF(F114&lt;&gt;"weapon","",IF(G114="miscellaneous","1-4",IF(I114="","",IFERROR(VLOOKUP(I114&amp;"|"&amp;IF(LEFT(H114,2)="2H",2,1)&amp;"|"&amp;IF(G114="slashing",1,0),_lookup!$G$3:$H$18,2,FALSE),""))))</f>
        <v/>
      </c>
      <c r="L114">
        <f>IF(K114="","",IF(OR(G114="channeling",G114="infusing"),"Magical",IF(G114="blocking","Anti-Physical",IF(G114="warding","Anti-Magical","Physical"))))</f>
        <v/>
      </c>
      <c r="O114">
        <f>IF(F114&lt;&gt;"armor","","TBD")</f>
        <v/>
      </c>
      <c r="P114">
        <f>IF(O114="","",IF(OR(G114="channeling",G114="infusing"),"Magical",IF(G114="blocking","Anti-Physical",IF(G114="warding","Anti-Magical","Physical"))))</f>
        <v/>
      </c>
    </row>
    <row r="115">
      <c r="J115">
        <f>IF(G115="","",IFERROR(IF(G115="infusing",IFERROR(LOOKUP(2,1/ISNUMBER(SEARCH(_lookup!$D$3:$D$4,H115)),_lookup!$E$3:$E$4),"INT"),VLOOKUP(G115,_lookup!$A$3:$B$14,2,FALSE)),""))</f>
        <v/>
      </c>
      <c r="K115">
        <f>IF(F115&lt;&gt;"weapon","",IF(G115="miscellaneous","1-4",IF(I115="","",IFERROR(VLOOKUP(I115&amp;"|"&amp;IF(LEFT(H115,2)="2H",2,1)&amp;"|"&amp;IF(G115="slashing",1,0),_lookup!$G$3:$H$18,2,FALSE),""))))</f>
        <v/>
      </c>
      <c r="L115">
        <f>IF(K115="","",IF(OR(G115="channeling",G115="infusing"),"Magical",IF(G115="blocking","Anti-Physical",IF(G115="warding","Anti-Magical","Physical"))))</f>
        <v/>
      </c>
      <c r="O115">
        <f>IF(F115&lt;&gt;"armor","","TBD")</f>
        <v/>
      </c>
      <c r="P115">
        <f>IF(O115="","",IF(OR(G115="channeling",G115="infusing"),"Magical",IF(G115="blocking","Anti-Physical",IF(G115="warding","Anti-Magical","Physical"))))</f>
        <v/>
      </c>
    </row>
    <row r="116">
      <c r="J116">
        <f>IF(G116="","",IFERROR(IF(G116="infusing",IFERROR(LOOKUP(2,1/ISNUMBER(SEARCH(_lookup!$D$3:$D$4,H116)),_lookup!$E$3:$E$4),"INT"),VLOOKUP(G116,_lookup!$A$3:$B$14,2,FALSE)),""))</f>
        <v/>
      </c>
      <c r="K116">
        <f>IF(F116&lt;&gt;"weapon","",IF(G116="miscellaneous","1-4",IF(I116="","",IFERROR(VLOOKUP(I116&amp;"|"&amp;IF(LEFT(H116,2)="2H",2,1)&amp;"|"&amp;IF(G116="slashing",1,0),_lookup!$G$3:$H$18,2,FALSE),""))))</f>
        <v/>
      </c>
      <c r="L116">
        <f>IF(K116="","",IF(OR(G116="channeling",G116="infusing"),"Magical",IF(G116="blocking","Anti-Physical",IF(G116="warding","Anti-Magical","Physical"))))</f>
        <v/>
      </c>
      <c r="O116">
        <f>IF(F116&lt;&gt;"armor","","TBD")</f>
        <v/>
      </c>
      <c r="P116">
        <f>IF(O116="","",IF(OR(G116="channeling",G116="infusing"),"Magical",IF(G116="blocking","Anti-Physical",IF(G116="warding","Anti-Magical","Physical"))))</f>
        <v/>
      </c>
    </row>
    <row r="117">
      <c r="J117">
        <f>IF(G117="","",IFERROR(IF(G117="infusing",IFERROR(LOOKUP(2,1/ISNUMBER(SEARCH(_lookup!$D$3:$D$4,H117)),_lookup!$E$3:$E$4),"INT"),VLOOKUP(G117,_lookup!$A$3:$B$14,2,FALSE)),""))</f>
        <v/>
      </c>
      <c r="K117">
        <f>IF(F117&lt;&gt;"weapon","",IF(G117="miscellaneous","1-4",IF(I117="","",IFERROR(VLOOKUP(I117&amp;"|"&amp;IF(LEFT(H117,2)="2H",2,1)&amp;"|"&amp;IF(G117="slashing",1,0),_lookup!$G$3:$H$18,2,FALSE),""))))</f>
        <v/>
      </c>
      <c r="L117">
        <f>IF(K117="","",IF(OR(G117="channeling",G117="infusing"),"Magical",IF(G117="blocking","Anti-Physical",IF(G117="warding","Anti-Magical","Physical"))))</f>
        <v/>
      </c>
      <c r="O117">
        <f>IF(F117&lt;&gt;"armor","","TBD")</f>
        <v/>
      </c>
      <c r="P117">
        <f>IF(O117="","",IF(OR(G117="channeling",G117="infusing"),"Magical",IF(G117="blocking","Anti-Physical",IF(G117="warding","Anti-Magical","Physical"))))</f>
        <v/>
      </c>
    </row>
    <row r="118">
      <c r="J118">
        <f>IF(G118="","",IFERROR(IF(G118="infusing",IFERROR(LOOKUP(2,1/ISNUMBER(SEARCH(_lookup!$D$3:$D$4,H118)),_lookup!$E$3:$E$4),"INT"),VLOOKUP(G118,_lookup!$A$3:$B$14,2,FALSE)),""))</f>
        <v/>
      </c>
      <c r="K118">
        <f>IF(F118&lt;&gt;"weapon","",IF(G118="miscellaneous","1-4",IF(I118="","",IFERROR(VLOOKUP(I118&amp;"|"&amp;IF(LEFT(H118,2)="2H",2,1)&amp;"|"&amp;IF(G118="slashing",1,0),_lookup!$G$3:$H$18,2,FALSE),""))))</f>
        <v/>
      </c>
      <c r="L118">
        <f>IF(K118="","",IF(OR(G118="channeling",G118="infusing"),"Magical",IF(G118="blocking","Anti-Physical",IF(G118="warding","Anti-Magical","Physical"))))</f>
        <v/>
      </c>
      <c r="O118">
        <f>IF(F118&lt;&gt;"armor","","TBD")</f>
        <v/>
      </c>
      <c r="P118">
        <f>IF(O118="","",IF(OR(G118="channeling",G118="infusing"),"Magical",IF(G118="blocking","Anti-Physical",IF(G118="warding","Anti-Magical","Physical"))))</f>
        <v/>
      </c>
    </row>
    <row r="119">
      <c r="J119">
        <f>IF(G119="","",IFERROR(IF(G119="infusing",IFERROR(LOOKUP(2,1/ISNUMBER(SEARCH(_lookup!$D$3:$D$4,H119)),_lookup!$E$3:$E$4),"INT"),VLOOKUP(G119,_lookup!$A$3:$B$14,2,FALSE)),""))</f>
        <v/>
      </c>
      <c r="K119">
        <f>IF(F119&lt;&gt;"weapon","",IF(G119="miscellaneous","1-4",IF(I119="","",IFERROR(VLOOKUP(I119&amp;"|"&amp;IF(LEFT(H119,2)="2H",2,1)&amp;"|"&amp;IF(G119="slashing",1,0),_lookup!$G$3:$H$18,2,FALSE),""))))</f>
        <v/>
      </c>
      <c r="L119">
        <f>IF(K119="","",IF(OR(G119="channeling",G119="infusing"),"Magical",IF(G119="blocking","Anti-Physical",IF(G119="warding","Anti-Magical","Physical"))))</f>
        <v/>
      </c>
      <c r="O119">
        <f>IF(F119&lt;&gt;"armor","","TBD")</f>
        <v/>
      </c>
      <c r="P119">
        <f>IF(O119="","",IF(OR(G119="channeling",G119="infusing"),"Magical",IF(G119="blocking","Anti-Physical",IF(G119="warding","Anti-Magical","Physical"))))</f>
        <v/>
      </c>
    </row>
    <row r="120">
      <c r="J120">
        <f>IF(G120="","",IFERROR(IF(G120="infusing",IFERROR(LOOKUP(2,1/ISNUMBER(SEARCH(_lookup!$D$3:$D$4,H120)),_lookup!$E$3:$E$4),"INT"),VLOOKUP(G120,_lookup!$A$3:$B$14,2,FALSE)),""))</f>
        <v/>
      </c>
      <c r="K120">
        <f>IF(F120&lt;&gt;"weapon","",IF(G120="miscellaneous","1-4",IF(I120="","",IFERROR(VLOOKUP(I120&amp;"|"&amp;IF(LEFT(H120,2)="2H",2,1)&amp;"|"&amp;IF(G120="slashing",1,0),_lookup!$G$3:$H$18,2,FALSE),""))))</f>
        <v/>
      </c>
      <c r="L120">
        <f>IF(K120="","",IF(OR(G120="channeling",G120="infusing"),"Magical",IF(G120="blocking","Anti-Physical",IF(G120="warding","Anti-Magical","Physical"))))</f>
        <v/>
      </c>
      <c r="O120">
        <f>IF(F120&lt;&gt;"armor","","TBD")</f>
        <v/>
      </c>
      <c r="P120">
        <f>IF(O120="","",IF(OR(G120="channeling",G120="infusing"),"Magical",IF(G120="blocking","Anti-Physical",IF(G120="warding","Anti-Magical","Physical"))))</f>
        <v/>
      </c>
    </row>
    <row r="121">
      <c r="J121">
        <f>IF(G121="","",IFERROR(IF(G121="infusing",IFERROR(LOOKUP(2,1/ISNUMBER(SEARCH(_lookup!$D$3:$D$4,H121)),_lookup!$E$3:$E$4),"INT"),VLOOKUP(G121,_lookup!$A$3:$B$14,2,FALSE)),""))</f>
        <v/>
      </c>
      <c r="K121">
        <f>IF(F121&lt;&gt;"weapon","",IF(G121="miscellaneous","1-4",IF(I121="","",IFERROR(VLOOKUP(I121&amp;"|"&amp;IF(LEFT(H121,2)="2H",2,1)&amp;"|"&amp;IF(G121="slashing",1,0),_lookup!$G$3:$H$18,2,FALSE),""))))</f>
        <v/>
      </c>
      <c r="L121">
        <f>IF(K121="","",IF(OR(G121="channeling",G121="infusing"),"Magical",IF(G121="blocking","Anti-Physical",IF(G121="warding","Anti-Magical","Physical"))))</f>
        <v/>
      </c>
      <c r="O121">
        <f>IF(F121&lt;&gt;"armor","","TBD")</f>
        <v/>
      </c>
      <c r="P121">
        <f>IF(O121="","",IF(OR(G121="channeling",G121="infusing"),"Magical",IF(G121="blocking","Anti-Physical",IF(G121="warding","Anti-Magical","Physical"))))</f>
        <v/>
      </c>
    </row>
    <row r="122">
      <c r="J122">
        <f>IF(G122="","",IFERROR(IF(G122="infusing",IFERROR(LOOKUP(2,1/ISNUMBER(SEARCH(_lookup!$D$3:$D$4,H122)),_lookup!$E$3:$E$4),"INT"),VLOOKUP(G122,_lookup!$A$3:$B$14,2,FALSE)),""))</f>
        <v/>
      </c>
      <c r="K122">
        <f>IF(F122&lt;&gt;"weapon","",IF(G122="miscellaneous","1-4",IF(I122="","",IFERROR(VLOOKUP(I122&amp;"|"&amp;IF(LEFT(H122,2)="2H",2,1)&amp;"|"&amp;IF(G122="slashing",1,0),_lookup!$G$3:$H$18,2,FALSE),""))))</f>
        <v/>
      </c>
      <c r="L122">
        <f>IF(K122="","",IF(OR(G122="channeling",G122="infusing"),"Magical",IF(G122="blocking","Anti-Physical",IF(G122="warding","Anti-Magical","Physical"))))</f>
        <v/>
      </c>
      <c r="O122">
        <f>IF(F122&lt;&gt;"armor","","TBD")</f>
        <v/>
      </c>
      <c r="P122">
        <f>IF(O122="","",IF(OR(G122="channeling",G122="infusing"),"Magical",IF(G122="blocking","Anti-Physical",IF(G122="warding","Anti-Magical","Physical"))))</f>
        <v/>
      </c>
    </row>
    <row r="123">
      <c r="J123">
        <f>IF(G123="","",IFERROR(IF(G123="infusing",IFERROR(LOOKUP(2,1/ISNUMBER(SEARCH(_lookup!$D$3:$D$4,H123)),_lookup!$E$3:$E$4),"INT"),VLOOKUP(G123,_lookup!$A$3:$B$14,2,FALSE)),""))</f>
        <v/>
      </c>
      <c r="K123">
        <f>IF(F123&lt;&gt;"weapon","",IF(G123="miscellaneous","1-4",IF(I123="","",IFERROR(VLOOKUP(I123&amp;"|"&amp;IF(LEFT(H123,2)="2H",2,1)&amp;"|"&amp;IF(G123="slashing",1,0),_lookup!$G$3:$H$18,2,FALSE),""))))</f>
        <v/>
      </c>
      <c r="L123">
        <f>IF(K123="","",IF(OR(G123="channeling",G123="infusing"),"Magical",IF(G123="blocking","Anti-Physical",IF(G123="warding","Anti-Magical","Physical"))))</f>
        <v/>
      </c>
      <c r="O123">
        <f>IF(F123&lt;&gt;"armor","","TBD")</f>
        <v/>
      </c>
      <c r="P123">
        <f>IF(O123="","",IF(OR(G123="channeling",G123="infusing"),"Magical",IF(G123="blocking","Anti-Physical",IF(G123="warding","Anti-Magical","Physical"))))</f>
        <v/>
      </c>
    </row>
    <row r="124">
      <c r="J124">
        <f>IF(G124="","",IFERROR(IF(G124="infusing",IFERROR(LOOKUP(2,1/ISNUMBER(SEARCH(_lookup!$D$3:$D$4,H124)),_lookup!$E$3:$E$4),"INT"),VLOOKUP(G124,_lookup!$A$3:$B$14,2,FALSE)),""))</f>
        <v/>
      </c>
      <c r="K124">
        <f>IF(F124&lt;&gt;"weapon","",IF(G124="miscellaneous","1-4",IF(I124="","",IFERROR(VLOOKUP(I124&amp;"|"&amp;IF(LEFT(H124,2)="2H",2,1)&amp;"|"&amp;IF(G124="slashing",1,0),_lookup!$G$3:$H$18,2,FALSE),""))))</f>
        <v/>
      </c>
      <c r="L124">
        <f>IF(K124="","",IF(OR(G124="channeling",G124="infusing"),"Magical",IF(G124="blocking","Anti-Physical",IF(G124="warding","Anti-Magical","Physical"))))</f>
        <v/>
      </c>
      <c r="O124">
        <f>IF(F124&lt;&gt;"armor","","TBD")</f>
        <v/>
      </c>
      <c r="P124">
        <f>IF(O124="","",IF(OR(G124="channeling",G124="infusing"),"Magical",IF(G124="blocking","Anti-Physical",IF(G124="warding","Anti-Magical","Physical"))))</f>
        <v/>
      </c>
    </row>
    <row r="125">
      <c r="J125">
        <f>IF(G125="","",IFERROR(IF(G125="infusing",IFERROR(LOOKUP(2,1/ISNUMBER(SEARCH(_lookup!$D$3:$D$4,H125)),_lookup!$E$3:$E$4),"INT"),VLOOKUP(G125,_lookup!$A$3:$B$14,2,FALSE)),""))</f>
        <v/>
      </c>
      <c r="K125">
        <f>IF(F125&lt;&gt;"weapon","",IF(G125="miscellaneous","1-4",IF(I125="","",IFERROR(VLOOKUP(I125&amp;"|"&amp;IF(LEFT(H125,2)="2H",2,1)&amp;"|"&amp;IF(G125="slashing",1,0),_lookup!$G$3:$H$18,2,FALSE),""))))</f>
        <v/>
      </c>
      <c r="L125">
        <f>IF(K125="","",IF(OR(G125="channeling",G125="infusing"),"Magical",IF(G125="blocking","Anti-Physical",IF(G125="warding","Anti-Magical","Physical"))))</f>
        <v/>
      </c>
      <c r="O125">
        <f>IF(F125&lt;&gt;"armor","","TBD")</f>
        <v/>
      </c>
      <c r="P125">
        <f>IF(O125="","",IF(OR(G125="channeling",G125="infusing"),"Magical",IF(G125="blocking","Anti-Physical",IF(G125="warding","Anti-Magical","Physical"))))</f>
        <v/>
      </c>
    </row>
    <row r="126">
      <c r="J126">
        <f>IF(G126="","",IFERROR(IF(G126="infusing",IFERROR(LOOKUP(2,1/ISNUMBER(SEARCH(_lookup!$D$3:$D$4,H126)),_lookup!$E$3:$E$4),"INT"),VLOOKUP(G126,_lookup!$A$3:$B$14,2,FALSE)),""))</f>
        <v/>
      </c>
      <c r="K126">
        <f>IF(F126&lt;&gt;"weapon","",IF(G126="miscellaneous","1-4",IF(I126="","",IFERROR(VLOOKUP(I126&amp;"|"&amp;IF(LEFT(H126,2)="2H",2,1)&amp;"|"&amp;IF(G126="slashing",1,0),_lookup!$G$3:$H$18,2,FALSE),""))))</f>
        <v/>
      </c>
      <c r="L126">
        <f>IF(K126="","",IF(OR(G126="channeling",G126="infusing"),"Magical",IF(G126="blocking","Anti-Physical",IF(G126="warding","Anti-Magical","Physical"))))</f>
        <v/>
      </c>
      <c r="O126">
        <f>IF(F126&lt;&gt;"armor","","TBD")</f>
        <v/>
      </c>
      <c r="P126">
        <f>IF(O126="","",IF(OR(G126="channeling",G126="infusing"),"Magical",IF(G126="blocking","Anti-Physical",IF(G126="warding","Anti-Magical","Physical"))))</f>
        <v/>
      </c>
    </row>
    <row r="127">
      <c r="J127">
        <f>IF(G127="","",IFERROR(IF(G127="infusing",IFERROR(LOOKUP(2,1/ISNUMBER(SEARCH(_lookup!$D$3:$D$4,H127)),_lookup!$E$3:$E$4),"INT"),VLOOKUP(G127,_lookup!$A$3:$B$14,2,FALSE)),""))</f>
        <v/>
      </c>
      <c r="K127">
        <f>IF(F127&lt;&gt;"weapon","",IF(G127="miscellaneous","1-4",IF(I127="","",IFERROR(VLOOKUP(I127&amp;"|"&amp;IF(LEFT(H127,2)="2H",2,1)&amp;"|"&amp;IF(G127="slashing",1,0),_lookup!$G$3:$H$18,2,FALSE),""))))</f>
        <v/>
      </c>
      <c r="L127">
        <f>IF(K127="","",IF(OR(G127="channeling",G127="infusing"),"Magical",IF(G127="blocking","Anti-Physical",IF(G127="warding","Anti-Magical","Physical"))))</f>
        <v/>
      </c>
      <c r="O127">
        <f>IF(F127&lt;&gt;"armor","","TBD")</f>
        <v/>
      </c>
      <c r="P127">
        <f>IF(O127="","",IF(OR(G127="channeling",G127="infusing"),"Magical",IF(G127="blocking","Anti-Physical",IF(G127="warding","Anti-Magical","Physical"))))</f>
        <v/>
      </c>
    </row>
    <row r="128">
      <c r="J128">
        <f>IF(G128="","",IFERROR(IF(G128="infusing",IFERROR(LOOKUP(2,1/ISNUMBER(SEARCH(_lookup!$D$3:$D$4,H128)),_lookup!$E$3:$E$4),"INT"),VLOOKUP(G128,_lookup!$A$3:$B$14,2,FALSE)),""))</f>
        <v/>
      </c>
      <c r="K128">
        <f>IF(F128&lt;&gt;"weapon","",IF(G128="miscellaneous","1-4",IF(I128="","",IFERROR(VLOOKUP(I128&amp;"|"&amp;IF(LEFT(H128,2)="2H",2,1)&amp;"|"&amp;IF(G128="slashing",1,0),_lookup!$G$3:$H$18,2,FALSE),""))))</f>
        <v/>
      </c>
      <c r="L128">
        <f>IF(K128="","",IF(OR(G128="channeling",G128="infusing"),"Magical",IF(G128="blocking","Anti-Physical",IF(G128="warding","Anti-Magical","Physical"))))</f>
        <v/>
      </c>
      <c r="O128">
        <f>IF(F128&lt;&gt;"armor","","TBD")</f>
        <v/>
      </c>
      <c r="P128">
        <f>IF(O128="","",IF(OR(G128="channeling",G128="infusing"),"Magical",IF(G128="blocking","Anti-Physical",IF(G128="warding","Anti-Magical","Physical"))))</f>
        <v/>
      </c>
      <c r="Y128" s="7" t="n"/>
    </row>
    <row r="129">
      <c r="J129">
        <f>IF(G129="","",IFERROR(IF(G129="infusing",IFERROR(LOOKUP(2,1/ISNUMBER(SEARCH(_lookup!$D$3:$D$4,H129)),_lookup!$E$3:$E$4),"INT"),VLOOKUP(G129,_lookup!$A$3:$B$14,2,FALSE)),""))</f>
        <v/>
      </c>
      <c r="K129">
        <f>IF(F129&lt;&gt;"weapon","",IF(G129="miscellaneous","1-4",IF(I129="","",IFERROR(VLOOKUP(I129&amp;"|"&amp;IF(LEFT(H129,2)="2H",2,1)&amp;"|"&amp;IF(G129="slashing",1,0),_lookup!$G$3:$H$18,2,FALSE),""))))</f>
        <v/>
      </c>
      <c r="L129">
        <f>IF(K129="","",IF(OR(G129="channeling",G129="infusing"),"Magical",IF(G129="blocking","Anti-Physical",IF(G129="warding","Anti-Magical","Physical"))))</f>
        <v/>
      </c>
      <c r="O129">
        <f>IF(F129&lt;&gt;"armor","","TBD")</f>
        <v/>
      </c>
      <c r="P129">
        <f>IF(O129="","",IF(OR(G129="channeling",G129="infusing"),"Magical",IF(G129="blocking","Anti-Physical",IF(G129="warding","Anti-Magical","Physical"))))</f>
        <v/>
      </c>
    </row>
    <row r="130">
      <c r="J130">
        <f>IF(G130="","",IFERROR(IF(G130="infusing",IFERROR(LOOKUP(2,1/ISNUMBER(SEARCH(_lookup!$D$3:$D$4,H130)),_lookup!$E$3:$E$4),"INT"),VLOOKUP(G130,_lookup!$A$3:$B$14,2,FALSE)),""))</f>
        <v/>
      </c>
      <c r="K130">
        <f>IF(F130&lt;&gt;"weapon","",IF(G130="miscellaneous","1-4",IF(I130="","",IFERROR(VLOOKUP(I130&amp;"|"&amp;IF(LEFT(H130,2)="2H",2,1)&amp;"|"&amp;IF(G130="slashing",1,0),_lookup!$G$3:$H$18,2,FALSE),""))))</f>
        <v/>
      </c>
      <c r="L130">
        <f>IF(K130="","",IF(OR(G130="channeling",G130="infusing"),"Magical",IF(G130="blocking","Anti-Physical",IF(G130="warding","Anti-Magical","Physical"))))</f>
        <v/>
      </c>
      <c r="O130">
        <f>IF(F130&lt;&gt;"armor","","TBD")</f>
        <v/>
      </c>
      <c r="P130">
        <f>IF(O130="","",IF(OR(G130="channeling",G130="infusing"),"Magical",IF(G130="blocking","Anti-Physical",IF(G130="warding","Anti-Magical","Physical"))))</f>
        <v/>
      </c>
    </row>
    <row r="131">
      <c r="J131">
        <f>IF(G131="","",IFERROR(IF(G131="infusing",IFERROR(LOOKUP(2,1/ISNUMBER(SEARCH(_lookup!$D$3:$D$4,H131)),_lookup!$E$3:$E$4),"INT"),VLOOKUP(G131,_lookup!$A$3:$B$14,2,FALSE)),""))</f>
        <v/>
      </c>
      <c r="K131">
        <f>IF(F131&lt;&gt;"weapon","",IF(G131="miscellaneous","1-4",IF(I131="","",IFERROR(VLOOKUP(I131&amp;"|"&amp;IF(LEFT(H131,2)="2H",2,1)&amp;"|"&amp;IF(G131="slashing",1,0),_lookup!$G$3:$H$18,2,FALSE),""))))</f>
        <v/>
      </c>
      <c r="L131">
        <f>IF(K131="","",IF(OR(G131="channeling",G131="infusing"),"Magical",IF(G131="blocking","Anti-Physical",IF(G131="warding","Anti-Magical","Physical"))))</f>
        <v/>
      </c>
      <c r="O131">
        <f>IF(F131&lt;&gt;"armor","","TBD")</f>
        <v/>
      </c>
      <c r="P131">
        <f>IF(O131="","",IF(OR(G131="channeling",G131="infusing"),"Magical",IF(G131="blocking","Anti-Physical",IF(G131="warding","Anti-Magical","Physical"))))</f>
        <v/>
      </c>
    </row>
    <row r="132">
      <c r="J132">
        <f>IF(G132="","",IFERROR(IF(G132="infusing",IFERROR(LOOKUP(2,1/ISNUMBER(SEARCH(_lookup!$D$3:$D$4,H132)),_lookup!$E$3:$E$4),"INT"),VLOOKUP(G132,_lookup!$A$3:$B$14,2,FALSE)),""))</f>
        <v/>
      </c>
      <c r="K132">
        <f>IF(F132&lt;&gt;"weapon","",IF(G132="miscellaneous","1-4",IF(I132="","",IFERROR(VLOOKUP(I132&amp;"|"&amp;IF(LEFT(H132,2)="2H",2,1)&amp;"|"&amp;IF(G132="slashing",1,0),_lookup!$G$3:$H$18,2,FALSE),""))))</f>
        <v/>
      </c>
      <c r="L132">
        <f>IF(K132="","",IF(OR(G132="channeling",G132="infusing"),"Magical",IF(G132="blocking","Anti-Physical",IF(G132="warding","Anti-Magical","Physical"))))</f>
        <v/>
      </c>
      <c r="O132">
        <f>IF(F132&lt;&gt;"armor","","TBD")</f>
        <v/>
      </c>
      <c r="P132">
        <f>IF(O132="","",IF(OR(G132="channeling",G132="infusing"),"Magical",IF(G132="blocking","Anti-Physical",IF(G132="warding","Anti-Magical","Physical"))))</f>
        <v/>
      </c>
    </row>
    <row r="133">
      <c r="J133">
        <f>IF(G133="","",IFERROR(IF(G133="infusing",IFERROR(LOOKUP(2,1/ISNUMBER(SEARCH(_lookup!$D$3:$D$4,H133)),_lookup!$E$3:$E$4),"INT"),VLOOKUP(G133,_lookup!$A$3:$B$14,2,FALSE)),""))</f>
        <v/>
      </c>
      <c r="K133">
        <f>IF(F133&lt;&gt;"weapon","",IF(G133="miscellaneous","1-4",IF(I133="","",IFERROR(VLOOKUP(I133&amp;"|"&amp;IF(LEFT(H133,2)="2H",2,1)&amp;"|"&amp;IF(G133="slashing",1,0),_lookup!$G$3:$H$18,2,FALSE),""))))</f>
        <v/>
      </c>
      <c r="L133">
        <f>IF(K133="","",IF(OR(G133="channeling",G133="infusing"),"Magical",IF(G133="blocking","Anti-Physical",IF(G133="warding","Anti-Magical","Physical"))))</f>
        <v/>
      </c>
      <c r="O133">
        <f>IF(F133&lt;&gt;"armor","","TBD")</f>
        <v/>
      </c>
      <c r="P133">
        <f>IF(O133="","",IF(OR(G133="channeling",G133="infusing"),"Magical",IF(G133="blocking","Anti-Physical",IF(G133="warding","Anti-Magical","Physical"))))</f>
        <v/>
      </c>
    </row>
    <row r="134">
      <c r="J134">
        <f>IF(G134="","",IFERROR(IF(G134="infusing",IFERROR(LOOKUP(2,1/ISNUMBER(SEARCH(_lookup!$D$3:$D$4,H134)),_lookup!$E$3:$E$4),"INT"),VLOOKUP(G134,_lookup!$A$3:$B$14,2,FALSE)),""))</f>
        <v/>
      </c>
      <c r="K134">
        <f>IF(F134&lt;&gt;"weapon","",IF(G134="miscellaneous","1-4",IF(I134="","",IFERROR(VLOOKUP(I134&amp;"|"&amp;IF(LEFT(H134,2)="2H",2,1)&amp;"|"&amp;IF(G134="slashing",1,0),_lookup!$G$3:$H$18,2,FALSE),""))))</f>
        <v/>
      </c>
      <c r="L134">
        <f>IF(K134="","",IF(OR(G134="channeling",G134="infusing"),"Magical",IF(G134="blocking","Anti-Physical",IF(G134="warding","Anti-Magical","Physical"))))</f>
        <v/>
      </c>
      <c r="O134">
        <f>IF(F134&lt;&gt;"armor","","TBD")</f>
        <v/>
      </c>
      <c r="P134">
        <f>IF(O134="","",IF(OR(G134="channeling",G134="infusing"),"Magical",IF(G134="blocking","Anti-Physical",IF(G134="warding","Anti-Magical","Physical"))))</f>
        <v/>
      </c>
    </row>
    <row r="135">
      <c r="J135">
        <f>IF(G135="","",IFERROR(IF(G135="infusing",IFERROR(LOOKUP(2,1/ISNUMBER(SEARCH(_lookup!$D$3:$D$4,H135)),_lookup!$E$3:$E$4),"INT"),VLOOKUP(G135,_lookup!$A$3:$B$14,2,FALSE)),""))</f>
        <v/>
      </c>
      <c r="K135">
        <f>IF(F135&lt;&gt;"weapon","",IF(G135="miscellaneous","1-4",IF(I135="","",IFERROR(VLOOKUP(I135&amp;"|"&amp;IF(LEFT(H135,2)="2H",2,1)&amp;"|"&amp;IF(G135="slashing",1,0),_lookup!$G$3:$H$18,2,FALSE),""))))</f>
        <v/>
      </c>
      <c r="L135">
        <f>IF(K135="","",IF(OR(G135="channeling",G135="infusing"),"Magical",IF(G135="blocking","Anti-Physical",IF(G135="warding","Anti-Magical","Physical"))))</f>
        <v/>
      </c>
      <c r="O135">
        <f>IF(F135&lt;&gt;"armor","","TBD")</f>
        <v/>
      </c>
      <c r="P135">
        <f>IF(O135="","",IF(OR(G135="channeling",G135="infusing"),"Magical",IF(G135="blocking","Anti-Physical",IF(G135="warding","Anti-Magical","Physical"))))</f>
        <v/>
      </c>
    </row>
    <row r="136">
      <c r="J136">
        <f>IF(G136="","",IFERROR(IF(G136="infusing",IFERROR(LOOKUP(2,1/ISNUMBER(SEARCH(_lookup!$D$3:$D$4,H136)),_lookup!$E$3:$E$4),"INT"),VLOOKUP(G136,_lookup!$A$3:$B$14,2,FALSE)),""))</f>
        <v/>
      </c>
      <c r="K136">
        <f>IF(F136&lt;&gt;"weapon","",IF(G136="miscellaneous","1-4",IF(I136="","",IFERROR(VLOOKUP(I136&amp;"|"&amp;IF(LEFT(H136,2)="2H",2,1)&amp;"|"&amp;IF(G136="slashing",1,0),_lookup!$G$3:$H$18,2,FALSE),""))))</f>
        <v/>
      </c>
      <c r="L136">
        <f>IF(K136="","",IF(OR(G136="channeling",G136="infusing"),"Magical",IF(G136="blocking","Anti-Physical",IF(G136="warding","Anti-Magical","Physical"))))</f>
        <v/>
      </c>
      <c r="O136">
        <f>IF(F136&lt;&gt;"armor","","TBD")</f>
        <v/>
      </c>
      <c r="P136">
        <f>IF(O136="","",IF(OR(G136="channeling",G136="infusing"),"Magical",IF(G136="blocking","Anti-Physical",IF(G136="warding","Anti-Magical","Physical"))))</f>
        <v/>
      </c>
    </row>
    <row r="137">
      <c r="J137">
        <f>IF(G137="","",IFERROR(IF(G137="infusing",IFERROR(LOOKUP(2,1/ISNUMBER(SEARCH(_lookup!$D$3:$D$4,H137)),_lookup!$E$3:$E$4),"INT"),VLOOKUP(G137,_lookup!$A$3:$B$14,2,FALSE)),""))</f>
        <v/>
      </c>
      <c r="K137">
        <f>IF(F137&lt;&gt;"weapon","",IF(G137="miscellaneous","1-4",IF(I137="","",IFERROR(VLOOKUP(I137&amp;"|"&amp;IF(LEFT(H137,2)="2H",2,1)&amp;"|"&amp;IF(G137="slashing",1,0),_lookup!$G$3:$H$18,2,FALSE),""))))</f>
        <v/>
      </c>
      <c r="L137">
        <f>IF(K137="","",IF(OR(G137="channeling",G137="infusing"),"Magical",IF(G137="blocking","Anti-Physical",IF(G137="warding","Anti-Magical","Physical"))))</f>
        <v/>
      </c>
      <c r="O137">
        <f>IF(F137&lt;&gt;"armor","","TBD")</f>
        <v/>
      </c>
      <c r="P137">
        <f>IF(O137="","",IF(OR(G137="channeling",G137="infusing"),"Magical",IF(G137="blocking","Anti-Physical",IF(G137="warding","Anti-Magical","Physical"))))</f>
        <v/>
      </c>
    </row>
    <row r="138">
      <c r="J138">
        <f>IF(G138="","",IFERROR(IF(G138="infusing",IFERROR(LOOKUP(2,1/ISNUMBER(SEARCH(_lookup!$D$3:$D$4,H138)),_lookup!$E$3:$E$4),"INT"),VLOOKUP(G138,_lookup!$A$3:$B$14,2,FALSE)),""))</f>
        <v/>
      </c>
      <c r="K138">
        <f>IF(F138&lt;&gt;"weapon","",IF(G138="miscellaneous","1-4",IF(I138="","",IFERROR(VLOOKUP(I138&amp;"|"&amp;IF(LEFT(H138,2)="2H",2,1)&amp;"|"&amp;IF(G138="slashing",1,0),_lookup!$G$3:$H$18,2,FALSE),""))))</f>
        <v/>
      </c>
      <c r="L138">
        <f>IF(K138="","",IF(OR(G138="channeling",G138="infusing"),"Magical",IF(G138="blocking","Anti-Physical",IF(G138="warding","Anti-Magical","Physical"))))</f>
        <v/>
      </c>
      <c r="O138">
        <f>IF(F138&lt;&gt;"armor","","TBD")</f>
        <v/>
      </c>
      <c r="P138">
        <f>IF(O138="","",IF(OR(G138="channeling",G138="infusing"),"Magical",IF(G138="blocking","Anti-Physical",IF(G138="warding","Anti-Magical","Physical"))))</f>
        <v/>
      </c>
    </row>
    <row r="139">
      <c r="J139">
        <f>IF(G139="","",IFERROR(IF(G139="infusing",IFERROR(LOOKUP(2,1/ISNUMBER(SEARCH(_lookup!$D$3:$D$4,H139)),_lookup!$E$3:$E$4),"INT"),VLOOKUP(G139,_lookup!$A$3:$B$14,2,FALSE)),""))</f>
        <v/>
      </c>
      <c r="K139">
        <f>IF(F139&lt;&gt;"weapon","",IF(G139="miscellaneous","1-4",IF(I139="","",IFERROR(VLOOKUP(I139&amp;"|"&amp;IF(LEFT(H139,2)="2H",2,1)&amp;"|"&amp;IF(G139="slashing",1,0),_lookup!$G$3:$H$18,2,FALSE),""))))</f>
        <v/>
      </c>
      <c r="L139">
        <f>IF(K139="","",IF(OR(G139="channeling",G139="infusing"),"Magical",IF(G139="blocking","Anti-Physical",IF(G139="warding","Anti-Magical","Physical"))))</f>
        <v/>
      </c>
      <c r="O139">
        <f>IF(F139&lt;&gt;"armor","","TBD")</f>
        <v/>
      </c>
      <c r="P139">
        <f>IF(O139="","",IF(OR(G139="channeling",G139="infusing"),"Magical",IF(G139="blocking","Anti-Physical",IF(G139="warding","Anti-Magical","Physical"))))</f>
        <v/>
      </c>
    </row>
    <row r="140">
      <c r="J140">
        <f>IF(G140="","",IFERROR(IF(G140="infusing",IFERROR(LOOKUP(2,1/ISNUMBER(SEARCH(_lookup!$D$3:$D$4,H140)),_lookup!$E$3:$E$4),"INT"),VLOOKUP(G140,_lookup!$A$3:$B$14,2,FALSE)),""))</f>
        <v/>
      </c>
      <c r="K140">
        <f>IF(F140&lt;&gt;"weapon","",IF(G140="miscellaneous","1-4",IF(I140="","",IFERROR(VLOOKUP(I140&amp;"|"&amp;IF(LEFT(H140,2)="2H",2,1)&amp;"|"&amp;IF(G140="slashing",1,0),_lookup!$G$3:$H$18,2,FALSE),""))))</f>
        <v/>
      </c>
      <c r="L140">
        <f>IF(K140="","",IF(OR(G140="channeling",G140="infusing"),"Magical",IF(G140="blocking","Anti-Physical",IF(G140="warding","Anti-Magical","Physical"))))</f>
        <v/>
      </c>
      <c r="O140">
        <f>IF(F140&lt;&gt;"armor","","TBD")</f>
        <v/>
      </c>
      <c r="P140">
        <f>IF(O140="","",IF(OR(G140="channeling",G140="infusing"),"Magical",IF(G140="blocking","Anti-Physical",IF(G140="warding","Anti-Magical","Physical"))))</f>
        <v/>
      </c>
    </row>
    <row r="141">
      <c r="J141">
        <f>IF(G141="","",IFERROR(IF(G141="infusing",IFERROR(LOOKUP(2,1/ISNUMBER(SEARCH(_lookup!$D$3:$D$4,H141)),_lookup!$E$3:$E$4),"INT"),VLOOKUP(G141,_lookup!$A$3:$B$14,2,FALSE)),""))</f>
        <v/>
      </c>
      <c r="K141">
        <f>IF(F141&lt;&gt;"weapon","",IF(G141="miscellaneous","1-4",IF(I141="","",IFERROR(VLOOKUP(I141&amp;"|"&amp;IF(LEFT(H141,2)="2H",2,1)&amp;"|"&amp;IF(G141="slashing",1,0),_lookup!$G$3:$H$18,2,FALSE),""))))</f>
        <v/>
      </c>
      <c r="L141">
        <f>IF(K141="","",IF(OR(G141="channeling",G141="infusing"),"Magical",IF(G141="blocking","Anti-Physical",IF(G141="warding","Anti-Magical","Physical"))))</f>
        <v/>
      </c>
      <c r="O141">
        <f>IF(F141&lt;&gt;"armor","","TBD")</f>
        <v/>
      </c>
      <c r="P141">
        <f>IF(O141="","",IF(OR(G141="channeling",G141="infusing"),"Magical",IF(G141="blocking","Anti-Physical",IF(G141="warding","Anti-Magical","Physical"))))</f>
        <v/>
      </c>
    </row>
    <row r="142">
      <c r="J142">
        <f>IF(G142="","",IFERROR(IF(G142="infusing",IFERROR(LOOKUP(2,1/ISNUMBER(SEARCH(_lookup!$D$3:$D$4,H142)),_lookup!$E$3:$E$4),"INT"),VLOOKUP(G142,_lookup!$A$3:$B$14,2,FALSE)),""))</f>
        <v/>
      </c>
      <c r="K142">
        <f>IF(F142&lt;&gt;"weapon","",IF(G142="miscellaneous","1-4",IF(I142="","",IFERROR(VLOOKUP(I142&amp;"|"&amp;IF(LEFT(H142,2)="2H",2,1)&amp;"|"&amp;IF(G142="slashing",1,0),_lookup!$G$3:$H$18,2,FALSE),""))))</f>
        <v/>
      </c>
      <c r="L142">
        <f>IF(K142="","",IF(OR(G142="channeling",G142="infusing"),"Magical",IF(G142="blocking","Anti-Physical",IF(G142="warding","Anti-Magical","Physical"))))</f>
        <v/>
      </c>
      <c r="O142">
        <f>IF(F142&lt;&gt;"armor","","TBD")</f>
        <v/>
      </c>
      <c r="P142">
        <f>IF(O142="","",IF(OR(G142="channeling",G142="infusing"),"Magical",IF(G142="blocking","Anti-Physical",IF(G142="warding","Anti-Magical","Physical"))))</f>
        <v/>
      </c>
    </row>
    <row r="143">
      <c r="J143">
        <f>IF(G143="","",IFERROR(IF(G143="infusing",IFERROR(LOOKUP(2,1/ISNUMBER(SEARCH(_lookup!$D$3:$D$4,H143)),_lookup!$E$3:$E$4),"INT"),VLOOKUP(G143,_lookup!$A$3:$B$14,2,FALSE)),""))</f>
        <v/>
      </c>
      <c r="K143">
        <f>IF(F143&lt;&gt;"weapon","",IF(G143="miscellaneous","1-4",IF(I143="","",IFERROR(VLOOKUP(I143&amp;"|"&amp;IF(LEFT(H143,2)="2H",2,1)&amp;"|"&amp;IF(G143="slashing",1,0),_lookup!$G$3:$H$18,2,FALSE),""))))</f>
        <v/>
      </c>
      <c r="L143">
        <f>IF(K143="","",IF(OR(G143="channeling",G143="infusing"),"Magical",IF(G143="blocking","Anti-Physical",IF(G143="warding","Anti-Magical","Physical"))))</f>
        <v/>
      </c>
      <c r="O143">
        <f>IF(F143&lt;&gt;"armor","","TBD")</f>
        <v/>
      </c>
      <c r="P143">
        <f>IF(O143="","",IF(OR(G143="channeling",G143="infusing"),"Magical",IF(G143="blocking","Anti-Physical",IF(G143="warding","Anti-Magical","Physical"))))</f>
        <v/>
      </c>
    </row>
    <row r="144">
      <c r="J144">
        <f>IF(G144="","",IFERROR(IF(G144="infusing",IFERROR(LOOKUP(2,1/ISNUMBER(SEARCH(_lookup!$D$3:$D$4,H144)),_lookup!$E$3:$E$4),"INT"),VLOOKUP(G144,_lookup!$A$3:$B$14,2,FALSE)),""))</f>
        <v/>
      </c>
      <c r="K144">
        <f>IF(F144&lt;&gt;"weapon","",IF(G144="miscellaneous","1-4",IF(I144="","",IFERROR(VLOOKUP(I144&amp;"|"&amp;IF(LEFT(H144,2)="2H",2,1)&amp;"|"&amp;IF(G144="slashing",1,0),_lookup!$G$3:$H$18,2,FALSE),""))))</f>
        <v/>
      </c>
      <c r="L144">
        <f>IF(K144="","",IF(OR(G144="channeling",G144="infusing"),"Magical",IF(G144="blocking","Anti-Physical",IF(G144="warding","Anti-Magical","Physical"))))</f>
        <v/>
      </c>
      <c r="O144">
        <f>IF(F144&lt;&gt;"armor","","TBD")</f>
        <v/>
      </c>
      <c r="P144">
        <f>IF(O144="","",IF(OR(G144="channeling",G144="infusing"),"Magical",IF(G144="blocking","Anti-Physical",IF(G144="warding","Anti-Magical","Physical"))))</f>
        <v/>
      </c>
    </row>
    <row r="145">
      <c r="J145">
        <f>IF(G145="","",IFERROR(IF(G145="infusing",IFERROR(LOOKUP(2,1/ISNUMBER(SEARCH(_lookup!$D$3:$D$4,H145)),_lookup!$E$3:$E$4),"INT"),VLOOKUP(G145,_lookup!$A$3:$B$14,2,FALSE)),""))</f>
        <v/>
      </c>
      <c r="K145">
        <f>IF(F145&lt;&gt;"weapon","",IF(G145="miscellaneous","1-4",IF(I145="","",IFERROR(VLOOKUP(I145&amp;"|"&amp;IF(LEFT(H145,2)="2H",2,1)&amp;"|"&amp;IF(G145="slashing",1,0),_lookup!$G$3:$H$18,2,FALSE),""))))</f>
        <v/>
      </c>
      <c r="L145">
        <f>IF(K145="","",IF(OR(G145="channeling",G145="infusing"),"Magical",IF(G145="blocking","Anti-Physical",IF(G145="warding","Anti-Magical","Physical"))))</f>
        <v/>
      </c>
      <c r="O145">
        <f>IF(F145&lt;&gt;"armor","","TBD")</f>
        <v/>
      </c>
      <c r="P145">
        <f>IF(O145="","",IF(OR(G145="channeling",G145="infusing"),"Magical",IF(G145="blocking","Anti-Physical",IF(G145="warding","Anti-Magical","Physical"))))</f>
        <v/>
      </c>
    </row>
    <row r="146">
      <c r="J146">
        <f>IF(G146="","",IFERROR(IF(G146="infusing",IFERROR(LOOKUP(2,1/ISNUMBER(SEARCH(_lookup!$D$3:$D$4,H146)),_lookup!$E$3:$E$4),"INT"),VLOOKUP(G146,_lookup!$A$3:$B$14,2,FALSE)),""))</f>
        <v/>
      </c>
      <c r="K146">
        <f>IF(F146&lt;&gt;"weapon","",IF(G146="miscellaneous","1-4",IF(I146="","",IFERROR(VLOOKUP(I146&amp;"|"&amp;IF(LEFT(H146,2)="2H",2,1)&amp;"|"&amp;IF(G146="slashing",1,0),_lookup!$G$3:$H$18,2,FALSE),""))))</f>
        <v/>
      </c>
      <c r="L146">
        <f>IF(K146="","",IF(OR(G146="channeling",G146="infusing"),"Magical",IF(G146="blocking","Anti-Physical",IF(G146="warding","Anti-Magical","Physical"))))</f>
        <v/>
      </c>
      <c r="O146">
        <f>IF(F146&lt;&gt;"armor","","TBD")</f>
        <v/>
      </c>
      <c r="P146">
        <f>IF(O146="","",IF(OR(G146="channeling",G146="infusing"),"Magical",IF(G146="blocking","Anti-Physical",IF(G146="warding","Anti-Magical","Physical"))))</f>
        <v/>
      </c>
    </row>
    <row r="147">
      <c r="J147">
        <f>IF(G147="","",IFERROR(IF(G147="infusing",IFERROR(LOOKUP(2,1/ISNUMBER(SEARCH(_lookup!$D$3:$D$4,H147)),_lookup!$E$3:$E$4),"INT"),VLOOKUP(G147,_lookup!$A$3:$B$14,2,FALSE)),""))</f>
        <v/>
      </c>
      <c r="K147">
        <f>IF(F147&lt;&gt;"weapon","",IF(G147="miscellaneous","1-4",IF(I147="","",IFERROR(VLOOKUP(I147&amp;"|"&amp;IF(LEFT(H147,2)="2H",2,1)&amp;"|"&amp;IF(G147="slashing",1,0),_lookup!$G$3:$H$18,2,FALSE),""))))</f>
        <v/>
      </c>
      <c r="L147">
        <f>IF(K147="","",IF(OR(G147="channeling",G147="infusing"),"Magical",IF(G147="blocking","Anti-Physical",IF(G147="warding","Anti-Magical","Physical"))))</f>
        <v/>
      </c>
      <c r="O147">
        <f>IF(F147&lt;&gt;"armor","","TBD")</f>
        <v/>
      </c>
      <c r="P147">
        <f>IF(O147="","",IF(OR(G147="channeling",G147="infusing"),"Magical",IF(G147="blocking","Anti-Physical",IF(G147="warding","Anti-Magical","Physical"))))</f>
        <v/>
      </c>
    </row>
    <row r="148">
      <c r="J148">
        <f>IF(G148="","",IFERROR(IF(G148="infusing",IFERROR(LOOKUP(2,1/ISNUMBER(SEARCH(_lookup!$D$3:$D$4,H148)),_lookup!$E$3:$E$4),"INT"),VLOOKUP(G148,_lookup!$A$3:$B$14,2,FALSE)),""))</f>
        <v/>
      </c>
      <c r="K148">
        <f>IF(F148&lt;&gt;"weapon","",IF(G148="miscellaneous","1-4",IF(I148="","",IFERROR(VLOOKUP(I148&amp;"|"&amp;IF(LEFT(H148,2)="2H",2,1)&amp;"|"&amp;IF(G148="slashing",1,0),_lookup!$G$3:$H$18,2,FALSE),""))))</f>
        <v/>
      </c>
      <c r="L148">
        <f>IF(K148="","",IF(OR(G148="channeling",G148="infusing"),"Magical",IF(G148="blocking","Anti-Physical",IF(G148="warding","Anti-Magical","Physical"))))</f>
        <v/>
      </c>
      <c r="O148">
        <f>IF(F148&lt;&gt;"armor","","TBD")</f>
        <v/>
      </c>
      <c r="P148">
        <f>IF(O148="","",IF(OR(G148="channeling",G148="infusing"),"Magical",IF(G148="blocking","Anti-Physical",IF(G148="warding","Anti-Magical","Physical"))))</f>
        <v/>
      </c>
    </row>
    <row r="149">
      <c r="J149">
        <f>IF(G149="","",IFERROR(IF(G149="infusing",IFERROR(LOOKUP(2,1/ISNUMBER(SEARCH(_lookup!$D$3:$D$4,H149)),_lookup!$E$3:$E$4),"INT"),VLOOKUP(G149,_lookup!$A$3:$B$14,2,FALSE)),""))</f>
        <v/>
      </c>
      <c r="K149">
        <f>IF(F149&lt;&gt;"weapon","",IF(G149="miscellaneous","1-4",IF(I149="","",IFERROR(VLOOKUP(I149&amp;"|"&amp;IF(LEFT(H149,2)="2H",2,1)&amp;"|"&amp;IF(G149="slashing",1,0),_lookup!$G$3:$H$18,2,FALSE),""))))</f>
        <v/>
      </c>
      <c r="L149">
        <f>IF(K149="","",IF(OR(G149="channeling",G149="infusing"),"Magical",IF(G149="blocking","Anti-Physical",IF(G149="warding","Anti-Magical","Physical"))))</f>
        <v/>
      </c>
      <c r="O149">
        <f>IF(F149&lt;&gt;"armor","","TBD")</f>
        <v/>
      </c>
      <c r="P149">
        <f>IF(O149="","",IF(OR(G149="channeling",G149="infusing"),"Magical",IF(G149="blocking","Anti-Physical",IF(G149="warding","Anti-Magical","Physical"))))</f>
        <v/>
      </c>
    </row>
    <row r="150">
      <c r="J150">
        <f>IF(G150="","",IFERROR(IF(G150="infusing",IFERROR(LOOKUP(2,1/ISNUMBER(SEARCH(_lookup!$D$3:$D$4,H150)),_lookup!$E$3:$E$4),"INT"),VLOOKUP(G150,_lookup!$A$3:$B$14,2,FALSE)),""))</f>
        <v/>
      </c>
      <c r="K150">
        <f>IF(F150&lt;&gt;"weapon","",IF(G150="miscellaneous","1-4",IF(I150="","",IFERROR(VLOOKUP(I150&amp;"|"&amp;IF(LEFT(H150,2)="2H",2,1)&amp;"|"&amp;IF(G150="slashing",1,0),_lookup!$G$3:$H$18,2,FALSE),""))))</f>
        <v/>
      </c>
      <c r="L150">
        <f>IF(K150="","",IF(OR(G150="channeling",G150="infusing"),"Magical",IF(G150="blocking","Anti-Physical",IF(G150="warding","Anti-Magical","Physical"))))</f>
        <v/>
      </c>
      <c r="O150">
        <f>IF(F150&lt;&gt;"armor","","TBD")</f>
        <v/>
      </c>
      <c r="P150">
        <f>IF(O150="","",IF(OR(G150="channeling",G150="infusing"),"Magical",IF(G150="blocking","Anti-Physical",IF(G150="warding","Anti-Magical","Physical"))))</f>
        <v/>
      </c>
    </row>
    <row r="151">
      <c r="J151">
        <f>IF(G151="","",IFERROR(IF(G151="infusing",IFERROR(LOOKUP(2,1/ISNUMBER(SEARCH(_lookup!$D$3:$D$4,H151)),_lookup!$E$3:$E$4),"INT"),VLOOKUP(G151,_lookup!$A$3:$B$14,2,FALSE)),""))</f>
        <v/>
      </c>
      <c r="K151">
        <f>IF(F151&lt;&gt;"weapon","",IF(G151="miscellaneous","1-4",IF(I151="","",IFERROR(VLOOKUP(I151&amp;"|"&amp;IF(LEFT(H151,2)="2H",2,1)&amp;"|"&amp;IF(G151="slashing",1,0),_lookup!$G$3:$H$18,2,FALSE),""))))</f>
        <v/>
      </c>
      <c r="L151">
        <f>IF(K151="","",IF(OR(G151="channeling",G151="infusing"),"Magical",IF(G151="blocking","Anti-Physical",IF(G151="warding","Anti-Magical","Physical"))))</f>
        <v/>
      </c>
      <c r="O151">
        <f>IF(F151&lt;&gt;"armor","","TBD")</f>
        <v/>
      </c>
      <c r="P151">
        <f>IF(O151="","",IF(OR(G151="channeling",G151="infusing"),"Magical",IF(G151="blocking","Anti-Physical",IF(G151="warding","Anti-Magical","Physical"))))</f>
        <v/>
      </c>
    </row>
    <row r="152">
      <c r="J152">
        <f>IF(G152="","",IFERROR(IF(G152="infusing",IFERROR(LOOKUP(2,1/ISNUMBER(SEARCH(_lookup!$D$3:$D$4,H152)),_lookup!$E$3:$E$4),"INT"),VLOOKUP(G152,_lookup!$A$3:$B$14,2,FALSE)),""))</f>
        <v/>
      </c>
      <c r="K152">
        <f>IF(F152&lt;&gt;"weapon","",IF(G152="miscellaneous","1-4",IF(I152="","",IFERROR(VLOOKUP(I152&amp;"|"&amp;IF(LEFT(H152,2)="2H",2,1)&amp;"|"&amp;IF(G152="slashing",1,0),_lookup!$G$3:$H$18,2,FALSE),""))))</f>
        <v/>
      </c>
      <c r="L152">
        <f>IF(K152="","",IF(OR(G152="channeling",G152="infusing"),"Magical",IF(G152="blocking","Anti-Physical",IF(G152="warding","Anti-Magical","Physical"))))</f>
        <v/>
      </c>
      <c r="O152">
        <f>IF(F152&lt;&gt;"armor","","TBD")</f>
        <v/>
      </c>
      <c r="P152">
        <f>IF(O152="","",IF(OR(G152="channeling",G152="infusing"),"Magical",IF(G152="blocking","Anti-Physical",IF(G152="warding","Anti-Magical","Physical"))))</f>
        <v/>
      </c>
    </row>
    <row r="153">
      <c r="J153">
        <f>IF(G153="","",IFERROR(IF(G153="infusing",IFERROR(LOOKUP(2,1/ISNUMBER(SEARCH(_lookup!$D$3:$D$4,H153)),_lookup!$E$3:$E$4),"INT"),VLOOKUP(G153,_lookup!$A$3:$B$14,2,FALSE)),""))</f>
        <v/>
      </c>
      <c r="K153">
        <f>IF(F153&lt;&gt;"weapon","",IF(G153="miscellaneous","1-4",IF(I153="","",IFERROR(VLOOKUP(I153&amp;"|"&amp;IF(LEFT(H153,2)="2H",2,1)&amp;"|"&amp;IF(G153="slashing",1,0),_lookup!$G$3:$H$18,2,FALSE),""))))</f>
        <v/>
      </c>
      <c r="L153">
        <f>IF(K153="","",IF(OR(G153="channeling",G153="infusing"),"Magical",IF(G153="blocking","Anti-Physical",IF(G153="warding","Anti-Magical","Physical"))))</f>
        <v/>
      </c>
      <c r="O153">
        <f>IF(F153&lt;&gt;"armor","","TBD")</f>
        <v/>
      </c>
      <c r="P153">
        <f>IF(O153="","",IF(OR(G153="channeling",G153="infusing"),"Magical",IF(G153="blocking","Anti-Physical",IF(G153="warding","Anti-Magical","Physical"))))</f>
        <v/>
      </c>
    </row>
    <row r="154">
      <c r="J154">
        <f>IF(G154="","",IFERROR(IF(G154="infusing",IFERROR(LOOKUP(2,1/ISNUMBER(SEARCH(_lookup!$D$3:$D$4,H154)),_lookup!$E$3:$E$4),"INT"),VLOOKUP(G154,_lookup!$A$3:$B$14,2,FALSE)),""))</f>
        <v/>
      </c>
      <c r="K154">
        <f>IF(F154&lt;&gt;"weapon","",IF(G154="miscellaneous","1-4",IF(I154="","",IFERROR(VLOOKUP(I154&amp;"|"&amp;IF(LEFT(H154,2)="2H",2,1)&amp;"|"&amp;IF(G154="slashing",1,0),_lookup!$G$3:$H$18,2,FALSE),""))))</f>
        <v/>
      </c>
      <c r="L154">
        <f>IF(K154="","",IF(OR(G154="channeling",G154="infusing"),"Magical",IF(G154="blocking","Anti-Physical",IF(G154="warding","Anti-Magical","Physical"))))</f>
        <v/>
      </c>
      <c r="O154">
        <f>IF(F154&lt;&gt;"armor","","TBD")</f>
        <v/>
      </c>
      <c r="P154">
        <f>IF(O154="","",IF(OR(G154="channeling",G154="infusing"),"Magical",IF(G154="blocking","Anti-Physical",IF(G154="warding","Anti-Magical","Physical"))))</f>
        <v/>
      </c>
    </row>
    <row r="155">
      <c r="J155">
        <f>IF(G155="","",IFERROR(IF(G155="infusing",IFERROR(LOOKUP(2,1/ISNUMBER(SEARCH(_lookup!$D$3:$D$4,H155)),_lookup!$E$3:$E$4),"INT"),VLOOKUP(G155,_lookup!$A$3:$B$14,2,FALSE)),""))</f>
        <v/>
      </c>
      <c r="K155">
        <f>IF(F155&lt;&gt;"weapon","",IF(G155="miscellaneous","1-4",IF(I155="","",IFERROR(VLOOKUP(I155&amp;"|"&amp;IF(LEFT(H155,2)="2H",2,1)&amp;"|"&amp;IF(G155="slashing",1,0),_lookup!$G$3:$H$18,2,FALSE),""))))</f>
        <v/>
      </c>
      <c r="L155">
        <f>IF(K155="","",IF(OR(G155="channeling",G155="infusing"),"Magical",IF(G155="blocking","Anti-Physical",IF(G155="warding","Anti-Magical","Physical"))))</f>
        <v/>
      </c>
      <c r="O155">
        <f>IF(F155&lt;&gt;"armor","","TBD")</f>
        <v/>
      </c>
      <c r="P155">
        <f>IF(O155="","",IF(OR(G155="channeling",G155="infusing"),"Magical",IF(G155="blocking","Anti-Physical",IF(G155="warding","Anti-Magical","Physical"))))</f>
        <v/>
      </c>
    </row>
    <row r="156">
      <c r="J156">
        <f>IF(G156="","",IFERROR(IF(G156="infusing",IFERROR(LOOKUP(2,1/ISNUMBER(SEARCH(_lookup!$D$3:$D$4,H156)),_lookup!$E$3:$E$4),"INT"),VLOOKUP(G156,_lookup!$A$3:$B$14,2,FALSE)),""))</f>
        <v/>
      </c>
      <c r="K156">
        <f>IF(F156&lt;&gt;"weapon","",IF(G156="miscellaneous","1-4",IF(I156="","",IFERROR(VLOOKUP(I156&amp;"|"&amp;IF(LEFT(H156,2)="2H",2,1)&amp;"|"&amp;IF(G156="slashing",1,0),_lookup!$G$3:$H$18,2,FALSE),""))))</f>
        <v/>
      </c>
      <c r="L156">
        <f>IF(K156="","",IF(OR(G156="channeling",G156="infusing"),"Magical",IF(G156="blocking","Anti-Physical",IF(G156="warding","Anti-Magical","Physical"))))</f>
        <v/>
      </c>
      <c r="O156">
        <f>IF(F156&lt;&gt;"armor","","TBD")</f>
        <v/>
      </c>
      <c r="P156">
        <f>IF(O156="","",IF(OR(G156="channeling",G156="infusing"),"Magical",IF(G156="blocking","Anti-Physical",IF(G156="warding","Anti-Magical","Physical"))))</f>
        <v/>
      </c>
    </row>
    <row r="157">
      <c r="J157">
        <f>IF(G157="","",IFERROR(IF(G157="infusing",IFERROR(LOOKUP(2,1/ISNUMBER(SEARCH(_lookup!$D$3:$D$4,H157)),_lookup!$E$3:$E$4),"INT"),VLOOKUP(G157,_lookup!$A$3:$B$14,2,FALSE)),""))</f>
        <v/>
      </c>
      <c r="K157">
        <f>IF(F157&lt;&gt;"weapon","",IF(G157="miscellaneous","1-4",IF(I157="","",IFERROR(VLOOKUP(I157&amp;"|"&amp;IF(LEFT(H157,2)="2H",2,1)&amp;"|"&amp;IF(G157="slashing",1,0),_lookup!$G$3:$H$18,2,FALSE),""))))</f>
        <v/>
      </c>
      <c r="L157">
        <f>IF(K157="","",IF(OR(G157="channeling",G157="infusing"),"Magical",IF(G157="blocking","Anti-Physical",IF(G157="warding","Anti-Magical","Physical"))))</f>
        <v/>
      </c>
      <c r="O157">
        <f>IF(F157&lt;&gt;"armor","","TBD")</f>
        <v/>
      </c>
      <c r="P157">
        <f>IF(O157="","",IF(OR(G157="channeling",G157="infusing"),"Magical",IF(G157="blocking","Anti-Physical",IF(G157="warding","Anti-Magical","Physical"))))</f>
        <v/>
      </c>
    </row>
    <row r="158">
      <c r="J158">
        <f>IF(G158="","",IFERROR(IF(G158="infusing",IFERROR(LOOKUP(2,1/ISNUMBER(SEARCH(_lookup!$D$3:$D$4,H158)),_lookup!$E$3:$E$4),"INT"),VLOOKUP(G158,_lookup!$A$3:$B$14,2,FALSE)),""))</f>
        <v/>
      </c>
      <c r="K158">
        <f>IF(F158&lt;&gt;"weapon","",IF(G158="miscellaneous","1-4",IF(I158="","",IFERROR(VLOOKUP(I158&amp;"|"&amp;IF(LEFT(H158,2)="2H",2,1)&amp;"|"&amp;IF(G158="slashing",1,0),_lookup!$G$3:$H$18,2,FALSE),""))))</f>
        <v/>
      </c>
      <c r="L158">
        <f>IF(K158="","",IF(OR(G158="channeling",G158="infusing"),"Magical",IF(G158="blocking","Anti-Physical",IF(G158="warding","Anti-Magical","Physical"))))</f>
        <v/>
      </c>
      <c r="O158">
        <f>IF(F158&lt;&gt;"armor","","TBD")</f>
        <v/>
      </c>
      <c r="P158">
        <f>IF(O158="","",IF(OR(G158="channeling",G158="infusing"),"Magical",IF(G158="blocking","Anti-Physical",IF(G158="warding","Anti-Magical","Physical"))))</f>
        <v/>
      </c>
    </row>
    <row r="159">
      <c r="J159">
        <f>IF(G159="","",IFERROR(IF(G159="infusing",IFERROR(LOOKUP(2,1/ISNUMBER(SEARCH(_lookup!$D$3:$D$4,H159)),_lookup!$E$3:$E$4),"INT"),VLOOKUP(G159,_lookup!$A$3:$B$14,2,FALSE)),""))</f>
        <v/>
      </c>
      <c r="K159">
        <f>IF(F159&lt;&gt;"weapon","",IF(G159="miscellaneous","1-4",IF(I159="","",IFERROR(VLOOKUP(I159&amp;"|"&amp;IF(LEFT(H159,2)="2H",2,1)&amp;"|"&amp;IF(G159="slashing",1,0),_lookup!$G$3:$H$18,2,FALSE),""))))</f>
        <v/>
      </c>
      <c r="L159">
        <f>IF(K159="","",IF(OR(G159="channeling",G159="infusing"),"Magical",IF(G159="blocking","Anti-Physical",IF(G159="warding","Anti-Magical","Physical"))))</f>
        <v/>
      </c>
      <c r="O159">
        <f>IF(F159&lt;&gt;"armor","","TBD")</f>
        <v/>
      </c>
      <c r="P159">
        <f>IF(O159="","",IF(OR(G159="channeling",G159="infusing"),"Magical",IF(G159="blocking","Anti-Physical",IF(G159="warding","Anti-Magical","Physical"))))</f>
        <v/>
      </c>
    </row>
    <row r="160">
      <c r="J160">
        <f>IF(G160="","",IFERROR(IF(G160="infusing",IFERROR(LOOKUP(2,1/ISNUMBER(SEARCH(_lookup!$D$3:$D$4,H160)),_lookup!$E$3:$E$4),"INT"),VLOOKUP(G160,_lookup!$A$3:$B$14,2,FALSE)),""))</f>
        <v/>
      </c>
      <c r="K160">
        <f>IF(F160&lt;&gt;"weapon","",IF(G160="miscellaneous","1-4",IF(I160="","",IFERROR(VLOOKUP(I160&amp;"|"&amp;IF(LEFT(H160,2)="2H",2,1)&amp;"|"&amp;IF(G160="slashing",1,0),_lookup!$G$3:$H$18,2,FALSE),""))))</f>
        <v/>
      </c>
      <c r="L160">
        <f>IF(K160="","",IF(OR(G160="channeling",G160="infusing"),"Magical",IF(G160="blocking","Anti-Physical",IF(G160="warding","Anti-Magical","Physical"))))</f>
        <v/>
      </c>
      <c r="O160">
        <f>IF(F160&lt;&gt;"armor","","TBD")</f>
        <v/>
      </c>
      <c r="P160">
        <f>IF(O160="","",IF(OR(G160="channeling",G160="infusing"),"Magical",IF(G160="blocking","Anti-Physical",IF(G160="warding","Anti-Magical","Physical"))))</f>
        <v/>
      </c>
    </row>
    <row r="161">
      <c r="J161">
        <f>IF(G161="","",IFERROR(IF(G161="infusing",IFERROR(LOOKUP(2,1/ISNUMBER(SEARCH(_lookup!$D$3:$D$4,H161)),_lookup!$E$3:$E$4),"INT"),VLOOKUP(G161,_lookup!$A$3:$B$14,2,FALSE)),""))</f>
        <v/>
      </c>
      <c r="K161">
        <f>IF(F161&lt;&gt;"weapon","",IF(G161="miscellaneous","1-4",IF(I161="","",IFERROR(VLOOKUP(I161&amp;"|"&amp;IF(LEFT(H161,2)="2H",2,1)&amp;"|"&amp;IF(G161="slashing",1,0),_lookup!$G$3:$H$18,2,FALSE),""))))</f>
        <v/>
      </c>
      <c r="L161">
        <f>IF(K161="","",IF(OR(G161="channeling",G161="infusing"),"Magical",IF(G161="blocking","Anti-Physical",IF(G161="warding","Anti-Magical","Physical"))))</f>
        <v/>
      </c>
      <c r="O161">
        <f>IF(F161&lt;&gt;"armor","","TBD")</f>
        <v/>
      </c>
      <c r="P161">
        <f>IF(O161="","",IF(OR(G161="channeling",G161="infusing"),"Magical",IF(G161="blocking","Anti-Physical",IF(G161="warding","Anti-Magical","Physical"))))</f>
        <v/>
      </c>
    </row>
    <row r="162">
      <c r="J162">
        <f>IF(G162="","",IFERROR(IF(G162="infusing",IFERROR(LOOKUP(2,1/ISNUMBER(SEARCH(_lookup!$D$3:$D$4,H162)),_lookup!$E$3:$E$4),"INT"),VLOOKUP(G162,_lookup!$A$3:$B$14,2,FALSE)),""))</f>
        <v/>
      </c>
      <c r="K162">
        <f>IF(F162&lt;&gt;"weapon","",IF(G162="miscellaneous","1-4",IF(I162="","",IFERROR(VLOOKUP(I162&amp;"|"&amp;IF(LEFT(H162,2)="2H",2,1)&amp;"|"&amp;IF(G162="slashing",1,0),_lookup!$G$3:$H$18,2,FALSE),""))))</f>
        <v/>
      </c>
      <c r="L162">
        <f>IF(K162="","",IF(OR(G162="channeling",G162="infusing"),"Magical",IF(G162="blocking","Anti-Physical",IF(G162="warding","Anti-Magical","Physical"))))</f>
        <v/>
      </c>
      <c r="O162">
        <f>IF(F162&lt;&gt;"armor","","TBD")</f>
        <v/>
      </c>
      <c r="P162">
        <f>IF(O162="","",IF(OR(G162="channeling",G162="infusing"),"Magical",IF(G162="blocking","Anti-Physical",IF(G162="warding","Anti-Magical","Physical"))))</f>
        <v/>
      </c>
    </row>
    <row r="163">
      <c r="J163">
        <f>IF(G163="","",IFERROR(IF(G163="infusing",IFERROR(LOOKUP(2,1/ISNUMBER(SEARCH(_lookup!$D$3:$D$4,H163)),_lookup!$E$3:$E$4),"INT"),VLOOKUP(G163,_lookup!$A$3:$B$14,2,FALSE)),""))</f>
        <v/>
      </c>
      <c r="K163">
        <f>IF(F163&lt;&gt;"weapon","",IF(G163="miscellaneous","1-4",IF(I163="","",IFERROR(VLOOKUP(I163&amp;"|"&amp;IF(LEFT(H163,2)="2H",2,1)&amp;"|"&amp;IF(G163="slashing",1,0),_lookup!$G$3:$H$18,2,FALSE),""))))</f>
        <v/>
      </c>
      <c r="L163">
        <f>IF(K163="","",IF(OR(G163="channeling",G163="infusing"),"Magical",IF(G163="blocking","Anti-Physical",IF(G163="warding","Anti-Magical","Physical"))))</f>
        <v/>
      </c>
      <c r="O163">
        <f>IF(F163&lt;&gt;"armor","","TBD")</f>
        <v/>
      </c>
      <c r="P163">
        <f>IF(O163="","",IF(OR(G163="channeling",G163="infusing"),"Magical",IF(G163="blocking","Anti-Physical",IF(G163="warding","Anti-Magical","Physical"))))</f>
        <v/>
      </c>
    </row>
    <row r="164">
      <c r="J164">
        <f>IF(G164="","",IFERROR(IF(G164="infusing",IFERROR(LOOKUP(2,1/ISNUMBER(SEARCH(_lookup!$D$3:$D$4,H164)),_lookup!$E$3:$E$4),"INT"),VLOOKUP(G164,_lookup!$A$3:$B$14,2,FALSE)),""))</f>
        <v/>
      </c>
      <c r="K164">
        <f>IF(F164&lt;&gt;"weapon","",IF(G164="miscellaneous","1-4",IF(I164="","",IFERROR(VLOOKUP(I164&amp;"|"&amp;IF(LEFT(H164,2)="2H",2,1)&amp;"|"&amp;IF(G164="slashing",1,0),_lookup!$G$3:$H$18,2,FALSE),""))))</f>
        <v/>
      </c>
      <c r="L164">
        <f>IF(K164="","",IF(OR(G164="channeling",G164="infusing"),"Magical",IF(G164="blocking","Anti-Physical",IF(G164="warding","Anti-Magical","Physical"))))</f>
        <v/>
      </c>
      <c r="O164">
        <f>IF(F164&lt;&gt;"armor","","TBD")</f>
        <v/>
      </c>
      <c r="P164">
        <f>IF(O164="","",IF(OR(G164="channeling",G164="infusing"),"Magical",IF(G164="blocking","Anti-Physical",IF(G164="warding","Anti-Magical","Physical"))))</f>
        <v/>
      </c>
    </row>
    <row r="165">
      <c r="J165">
        <f>IF(G165="","",IFERROR(IF(G165="infusing",IFERROR(LOOKUP(2,1/ISNUMBER(SEARCH(_lookup!$D$3:$D$4,H165)),_lookup!$E$3:$E$4),"INT"),VLOOKUP(G165,_lookup!$A$3:$B$14,2,FALSE)),""))</f>
        <v/>
      </c>
      <c r="K165">
        <f>IF(F165&lt;&gt;"weapon","",IF(G165="miscellaneous","1-4",IF(I165="","",IFERROR(VLOOKUP(I165&amp;"|"&amp;IF(LEFT(H165,2)="2H",2,1)&amp;"|"&amp;IF(G165="slashing",1,0),_lookup!$G$3:$H$18,2,FALSE),""))))</f>
        <v/>
      </c>
      <c r="L165">
        <f>IF(K165="","",IF(OR(G165="channeling",G165="infusing"),"Magical",IF(G165="blocking","Anti-Physical",IF(G165="warding","Anti-Magical","Physical"))))</f>
        <v/>
      </c>
      <c r="O165">
        <f>IF(F165&lt;&gt;"armor","","TBD")</f>
        <v/>
      </c>
      <c r="P165">
        <f>IF(O165="","",IF(OR(G165="channeling",G165="infusing"),"Magical",IF(G165="blocking","Anti-Physical",IF(G165="warding","Anti-Magical","Physical"))))</f>
        <v/>
      </c>
    </row>
    <row r="166">
      <c r="J166">
        <f>IF(G166="","",IFERROR(IF(G166="infusing",IFERROR(LOOKUP(2,1/ISNUMBER(SEARCH(_lookup!$D$3:$D$4,H166)),_lookup!$E$3:$E$4),"INT"),VLOOKUP(G166,_lookup!$A$3:$B$14,2,FALSE)),""))</f>
        <v/>
      </c>
      <c r="K166">
        <f>IF(F166&lt;&gt;"weapon","",IF(G166="miscellaneous","1-4",IF(I166="","",IFERROR(VLOOKUP(I166&amp;"|"&amp;IF(LEFT(H166,2)="2H",2,1)&amp;"|"&amp;IF(G166="slashing",1,0),_lookup!$G$3:$H$18,2,FALSE),""))))</f>
        <v/>
      </c>
      <c r="L166">
        <f>IF(K166="","",IF(OR(G166="channeling",G166="infusing"),"Magical",IF(G166="blocking","Anti-Physical",IF(G166="warding","Anti-Magical","Physical"))))</f>
        <v/>
      </c>
      <c r="O166">
        <f>IF(F166&lt;&gt;"armor","","TBD")</f>
        <v/>
      </c>
      <c r="P166">
        <f>IF(O166="","",IF(OR(G166="channeling",G166="infusing"),"Magical",IF(G166="blocking","Anti-Physical",IF(G166="warding","Anti-Magical","Physical"))))</f>
        <v/>
      </c>
    </row>
    <row r="167">
      <c r="J167">
        <f>IF(G167="","",IFERROR(IF(G167="infusing",IFERROR(LOOKUP(2,1/ISNUMBER(SEARCH(_lookup!$D$3:$D$4,H167)),_lookup!$E$3:$E$4),"INT"),VLOOKUP(G167,_lookup!$A$3:$B$14,2,FALSE)),""))</f>
        <v/>
      </c>
      <c r="K167">
        <f>IF(F167&lt;&gt;"weapon","",IF(G167="miscellaneous","1-4",IF(I167="","",IFERROR(VLOOKUP(I167&amp;"|"&amp;IF(LEFT(H167,2)="2H",2,1)&amp;"|"&amp;IF(G167="slashing",1,0),_lookup!$G$3:$H$18,2,FALSE),""))))</f>
        <v/>
      </c>
      <c r="L167">
        <f>IF(K167="","",IF(OR(G167="channeling",G167="infusing"),"Magical",IF(G167="blocking","Anti-Physical",IF(G167="warding","Anti-Magical","Physical"))))</f>
        <v/>
      </c>
      <c r="O167">
        <f>IF(F167&lt;&gt;"armor","","TBD")</f>
        <v/>
      </c>
      <c r="P167">
        <f>IF(O167="","",IF(OR(G167="channeling",G167="infusing"),"Magical",IF(G167="blocking","Anti-Physical",IF(G167="warding","Anti-Magical","Physical"))))</f>
        <v/>
      </c>
    </row>
    <row r="168">
      <c r="J168">
        <f>IF(G168="","",IFERROR(IF(G168="infusing",IFERROR(LOOKUP(2,1/ISNUMBER(SEARCH(_lookup!$D$3:$D$4,H168)),_lookup!$E$3:$E$4),"INT"),VLOOKUP(G168,_lookup!$A$3:$B$14,2,FALSE)),""))</f>
        <v/>
      </c>
      <c r="K168">
        <f>IF(F168&lt;&gt;"weapon","",IF(G168="miscellaneous","1-4",IF(I168="","",IFERROR(VLOOKUP(I168&amp;"|"&amp;IF(LEFT(H168,2)="2H",2,1)&amp;"|"&amp;IF(G168="slashing",1,0),_lookup!$G$3:$H$18,2,FALSE),""))))</f>
        <v/>
      </c>
      <c r="L168">
        <f>IF(K168="","",IF(OR(G168="channeling",G168="infusing"),"Magical",IF(G168="blocking","Anti-Physical",IF(G168="warding","Anti-Magical","Physical"))))</f>
        <v/>
      </c>
      <c r="O168">
        <f>IF(F168&lt;&gt;"armor","","TBD")</f>
        <v/>
      </c>
      <c r="P168">
        <f>IF(O168="","",IF(OR(G168="channeling",G168="infusing"),"Magical",IF(G168="blocking","Anti-Physical",IF(G168="warding","Anti-Magical","Physical"))))</f>
        <v/>
      </c>
    </row>
    <row r="169">
      <c r="J169">
        <f>IF(G169="","",IFERROR(IF(G169="infusing",IFERROR(LOOKUP(2,1/ISNUMBER(SEARCH(_lookup!$D$3:$D$4,H169)),_lookup!$E$3:$E$4),"INT"),VLOOKUP(G169,_lookup!$A$3:$B$14,2,FALSE)),""))</f>
        <v/>
      </c>
      <c r="K169">
        <f>IF(F169&lt;&gt;"weapon","",IF(G169="miscellaneous","1-4",IF(I169="","",IFERROR(VLOOKUP(I169&amp;"|"&amp;IF(LEFT(H169,2)="2H",2,1)&amp;"|"&amp;IF(G169="slashing",1,0),_lookup!$G$3:$H$18,2,FALSE),""))))</f>
        <v/>
      </c>
      <c r="L169">
        <f>IF(K169="","",IF(OR(G169="channeling",G169="infusing"),"Magical",IF(G169="blocking","Anti-Physical",IF(G169="warding","Anti-Magical","Physical"))))</f>
        <v/>
      </c>
      <c r="O169">
        <f>IF(F169&lt;&gt;"armor","","TBD")</f>
        <v/>
      </c>
      <c r="P169">
        <f>IF(O169="","",IF(OR(G169="channeling",G169="infusing"),"Magical",IF(G169="blocking","Anti-Physical",IF(G169="warding","Anti-Magical","Physical"))))</f>
        <v/>
      </c>
    </row>
    <row r="170">
      <c r="J170">
        <f>IF(G170="","",IFERROR(IF(G170="infusing",IFERROR(LOOKUP(2,1/ISNUMBER(SEARCH(_lookup!$D$3:$D$4,H170)),_lookup!$E$3:$E$4),"INT"),VLOOKUP(G170,_lookup!$A$3:$B$14,2,FALSE)),""))</f>
        <v/>
      </c>
      <c r="K170">
        <f>IF(F170&lt;&gt;"weapon","",IF(G170="miscellaneous","1-4",IF(I170="","",IFERROR(VLOOKUP(I170&amp;"|"&amp;IF(LEFT(H170,2)="2H",2,1)&amp;"|"&amp;IF(G170="slashing",1,0),_lookup!$G$3:$H$18,2,FALSE),""))))</f>
        <v/>
      </c>
      <c r="L170">
        <f>IF(K170="","",IF(OR(G170="channeling",G170="infusing"),"Magical",IF(G170="blocking","Anti-Physical",IF(G170="warding","Anti-Magical","Physical"))))</f>
        <v/>
      </c>
      <c r="O170">
        <f>IF(F170&lt;&gt;"armor","","TBD")</f>
        <v/>
      </c>
      <c r="P170">
        <f>IF(O170="","",IF(OR(G170="channeling",G170="infusing"),"Magical",IF(G170="blocking","Anti-Physical",IF(G170="warding","Anti-Magical","Physical"))))</f>
        <v/>
      </c>
    </row>
    <row r="171">
      <c r="J171">
        <f>IF(G171="","",IFERROR(IF(G171="infusing",IFERROR(LOOKUP(2,1/ISNUMBER(SEARCH(_lookup!$D$3:$D$4,H171)),_lookup!$E$3:$E$4),"INT"),VLOOKUP(G171,_lookup!$A$3:$B$14,2,FALSE)),""))</f>
        <v/>
      </c>
      <c r="K171">
        <f>IF(F171&lt;&gt;"weapon","",IF(G171="miscellaneous","1-4",IF(I171="","",IFERROR(VLOOKUP(I171&amp;"|"&amp;IF(LEFT(H171,2)="2H",2,1)&amp;"|"&amp;IF(G171="slashing",1,0),_lookup!$G$3:$H$18,2,FALSE),""))))</f>
        <v/>
      </c>
      <c r="L171">
        <f>IF(K171="","",IF(OR(G171="channeling",G171="infusing"),"Magical",IF(G171="blocking","Anti-Physical",IF(G171="warding","Anti-Magical","Physical"))))</f>
        <v/>
      </c>
      <c r="O171">
        <f>IF(F171&lt;&gt;"armor","","TBD")</f>
        <v/>
      </c>
      <c r="P171">
        <f>IF(O171="","",IF(OR(G171="channeling",G171="infusing"),"Magical",IF(G171="blocking","Anti-Physical",IF(G171="warding","Anti-Magical","Physical"))))</f>
        <v/>
      </c>
    </row>
    <row r="172">
      <c r="J172">
        <f>IF(G172="","",IFERROR(IF(G172="infusing",IFERROR(LOOKUP(2,1/ISNUMBER(SEARCH(_lookup!$D$3:$D$4,H172)),_lookup!$E$3:$E$4),"INT"),VLOOKUP(G172,_lookup!$A$3:$B$14,2,FALSE)),""))</f>
        <v/>
      </c>
      <c r="K172">
        <f>IF(F172&lt;&gt;"weapon","",IF(G172="miscellaneous","1-4",IF(I172="","",IFERROR(VLOOKUP(I172&amp;"|"&amp;IF(LEFT(H172,2)="2H",2,1)&amp;"|"&amp;IF(G172="slashing",1,0),_lookup!$G$3:$H$18,2,FALSE),""))))</f>
        <v/>
      </c>
      <c r="L172">
        <f>IF(K172="","",IF(OR(G172="channeling",G172="infusing"),"Magical",IF(G172="blocking","Anti-Physical",IF(G172="warding","Anti-Magical","Physical"))))</f>
        <v/>
      </c>
      <c r="O172">
        <f>IF(F172&lt;&gt;"armor","","TBD")</f>
        <v/>
      </c>
      <c r="P172">
        <f>IF(O172="","",IF(OR(G172="channeling",G172="infusing"),"Magical",IF(G172="blocking","Anti-Physical",IF(G172="warding","Anti-Magical","Physical"))))</f>
        <v/>
      </c>
    </row>
    <row r="173">
      <c r="J173">
        <f>IF(G173="","",IFERROR(IF(G173="infusing",IFERROR(LOOKUP(2,1/ISNUMBER(SEARCH(_lookup!$D$3:$D$4,H173)),_lookup!$E$3:$E$4),"INT"),VLOOKUP(G173,_lookup!$A$3:$B$14,2,FALSE)),""))</f>
        <v/>
      </c>
      <c r="K173">
        <f>IF(F173&lt;&gt;"weapon","",IF(G173="miscellaneous","1-4",IF(I173="","",IFERROR(VLOOKUP(I173&amp;"|"&amp;IF(LEFT(H173,2)="2H",2,1)&amp;"|"&amp;IF(G173="slashing",1,0),_lookup!$G$3:$H$18,2,FALSE),""))))</f>
        <v/>
      </c>
      <c r="L173">
        <f>IF(K173="","",IF(OR(G173="channeling",G173="infusing"),"Magical",IF(G173="blocking","Anti-Physical",IF(G173="warding","Anti-Magical","Physical"))))</f>
        <v/>
      </c>
      <c r="O173">
        <f>IF(F173&lt;&gt;"armor","","TBD")</f>
        <v/>
      </c>
      <c r="P173">
        <f>IF(O173="","",IF(OR(G173="channeling",G173="infusing"),"Magical",IF(G173="blocking","Anti-Physical",IF(G173="warding","Anti-Magical","Physical"))))</f>
        <v/>
      </c>
    </row>
    <row r="174">
      <c r="J174">
        <f>IF(G174="","",IFERROR(IF(G174="infusing",IFERROR(LOOKUP(2,1/ISNUMBER(SEARCH(_lookup!$D$3:$D$4,H174)),_lookup!$E$3:$E$4),"INT"),VLOOKUP(G174,_lookup!$A$3:$B$14,2,FALSE)),""))</f>
        <v/>
      </c>
      <c r="K174">
        <f>IF(F174&lt;&gt;"weapon","",IF(G174="miscellaneous","1-4",IF(I174="","",IFERROR(VLOOKUP(I174&amp;"|"&amp;IF(LEFT(H174,2)="2H",2,1)&amp;"|"&amp;IF(G174="slashing",1,0),_lookup!$G$3:$H$18,2,FALSE),""))))</f>
        <v/>
      </c>
      <c r="L174">
        <f>IF(K174="","",IF(OR(G174="channeling",G174="infusing"),"Magical",IF(G174="blocking","Anti-Physical",IF(G174="warding","Anti-Magical","Physical"))))</f>
        <v/>
      </c>
      <c r="O174">
        <f>IF(F174&lt;&gt;"armor","","TBD")</f>
        <v/>
      </c>
      <c r="P174">
        <f>IF(O174="","",IF(OR(G174="channeling",G174="infusing"),"Magical",IF(G174="blocking","Anti-Physical",IF(G174="warding","Anti-Magical","Physical"))))</f>
        <v/>
      </c>
    </row>
    <row r="175">
      <c r="J175">
        <f>IF(G175="","",IFERROR(IF(G175="infusing",IFERROR(LOOKUP(2,1/ISNUMBER(SEARCH(_lookup!$D$3:$D$4,H175)),_lookup!$E$3:$E$4),"INT"),VLOOKUP(G175,_lookup!$A$3:$B$14,2,FALSE)),""))</f>
        <v/>
      </c>
      <c r="K175">
        <f>IF(F175&lt;&gt;"weapon","",IF(G175="miscellaneous","1-4",IF(I175="","",IFERROR(VLOOKUP(I175&amp;"|"&amp;IF(LEFT(H175,2)="2H",2,1)&amp;"|"&amp;IF(G175="slashing",1,0),_lookup!$G$3:$H$18,2,FALSE),""))))</f>
        <v/>
      </c>
      <c r="L175">
        <f>IF(K175="","",IF(OR(G175="channeling",G175="infusing"),"Magical",IF(G175="blocking","Anti-Physical",IF(G175="warding","Anti-Magical","Physical"))))</f>
        <v/>
      </c>
      <c r="O175">
        <f>IF(F175&lt;&gt;"armor","","TBD")</f>
        <v/>
      </c>
      <c r="P175">
        <f>IF(O175="","",IF(OR(G175="channeling",G175="infusing"),"Magical",IF(G175="blocking","Anti-Physical",IF(G175="warding","Anti-Magical","Physical"))))</f>
        <v/>
      </c>
    </row>
    <row r="176">
      <c r="J176">
        <f>IF(G176="","",IFERROR(IF(G176="infusing",IFERROR(LOOKUP(2,1/ISNUMBER(SEARCH(_lookup!$D$3:$D$4,H176)),_lookup!$E$3:$E$4),"INT"),VLOOKUP(G176,_lookup!$A$3:$B$14,2,FALSE)),""))</f>
        <v/>
      </c>
      <c r="K176">
        <f>IF(F176&lt;&gt;"weapon","",IF(G176="miscellaneous","1-4",IF(I176="","",IFERROR(VLOOKUP(I176&amp;"|"&amp;IF(LEFT(H176,2)="2H",2,1)&amp;"|"&amp;IF(G176="slashing",1,0),_lookup!$G$3:$H$18,2,FALSE),""))))</f>
        <v/>
      </c>
      <c r="L176">
        <f>IF(K176="","",IF(OR(G176="channeling",G176="infusing"),"Magical",IF(G176="blocking","Anti-Physical",IF(G176="warding","Anti-Magical","Physical"))))</f>
        <v/>
      </c>
      <c r="O176">
        <f>IF(F176&lt;&gt;"armor","","TBD")</f>
        <v/>
      </c>
      <c r="P176">
        <f>IF(O176="","",IF(OR(G176="channeling",G176="infusing"),"Magical",IF(G176="blocking","Anti-Physical",IF(G176="warding","Anti-Magical","Physical"))))</f>
        <v/>
      </c>
    </row>
    <row r="177">
      <c r="J177">
        <f>IF(G177="","",IFERROR(IF(G177="infusing",IFERROR(LOOKUP(2,1/ISNUMBER(SEARCH(_lookup!$D$3:$D$4,H177)),_lookup!$E$3:$E$4),"INT"),VLOOKUP(G177,_lookup!$A$3:$B$14,2,FALSE)),""))</f>
        <v/>
      </c>
      <c r="K177">
        <f>IF(F177&lt;&gt;"weapon","",IF(G177="miscellaneous","1-4",IF(I177="","",IFERROR(VLOOKUP(I177&amp;"|"&amp;IF(LEFT(H177,2)="2H",2,1)&amp;"|"&amp;IF(G177="slashing",1,0),_lookup!$G$3:$H$18,2,FALSE),""))))</f>
        <v/>
      </c>
      <c r="L177">
        <f>IF(K177="","",IF(OR(G177="channeling",G177="infusing"),"Magical",IF(G177="blocking","Anti-Physical",IF(G177="warding","Anti-Magical","Physical"))))</f>
        <v/>
      </c>
      <c r="O177">
        <f>IF(F177&lt;&gt;"armor","","TBD")</f>
        <v/>
      </c>
      <c r="P177">
        <f>IF(O177="","",IF(OR(G177="channeling",G177="infusing"),"Magical",IF(G177="blocking","Anti-Physical",IF(G177="warding","Anti-Magical","Physical"))))</f>
        <v/>
      </c>
    </row>
    <row r="178">
      <c r="J178">
        <f>IF(G178="","",IFERROR(IF(G178="infusing",IFERROR(LOOKUP(2,1/ISNUMBER(SEARCH(_lookup!$D$3:$D$4,H178)),_lookup!$E$3:$E$4),"INT"),VLOOKUP(G178,_lookup!$A$3:$B$14,2,FALSE)),""))</f>
        <v/>
      </c>
      <c r="K178">
        <f>IF(F178&lt;&gt;"weapon","",IF(G178="miscellaneous","1-4",IF(I178="","",IFERROR(VLOOKUP(I178&amp;"|"&amp;IF(LEFT(H178,2)="2H",2,1)&amp;"|"&amp;IF(G178="slashing",1,0),_lookup!$G$3:$H$18,2,FALSE),""))))</f>
        <v/>
      </c>
      <c r="L178">
        <f>IF(K178="","",IF(OR(G178="channeling",G178="infusing"),"Magical",IF(G178="blocking","Anti-Physical",IF(G178="warding","Anti-Magical","Physical"))))</f>
        <v/>
      </c>
      <c r="O178">
        <f>IF(F178&lt;&gt;"armor","","TBD")</f>
        <v/>
      </c>
      <c r="P178">
        <f>IF(O178="","",IF(OR(G178="channeling",G178="infusing"),"Magical",IF(G178="blocking","Anti-Physical",IF(G178="warding","Anti-Magical","Physical"))))</f>
        <v/>
      </c>
    </row>
    <row r="179">
      <c r="J179">
        <f>IF(G179="","",IFERROR(IF(G179="infusing",IFERROR(LOOKUP(2,1/ISNUMBER(SEARCH(_lookup!$D$3:$D$4,H179)),_lookup!$E$3:$E$4),"INT"),VLOOKUP(G179,_lookup!$A$3:$B$14,2,FALSE)),""))</f>
        <v/>
      </c>
      <c r="K179">
        <f>IF(F179&lt;&gt;"weapon","",IF(G179="miscellaneous","1-4",IF(I179="","",IFERROR(VLOOKUP(I179&amp;"|"&amp;IF(LEFT(H179,2)="2H",2,1)&amp;"|"&amp;IF(G179="slashing",1,0),_lookup!$G$3:$H$18,2,FALSE),""))))</f>
        <v/>
      </c>
      <c r="L179">
        <f>IF(K179="","",IF(OR(G179="channeling",G179="infusing"),"Magical",IF(G179="blocking","Anti-Physical",IF(G179="warding","Anti-Magical","Physical"))))</f>
        <v/>
      </c>
      <c r="O179">
        <f>IF(F179&lt;&gt;"armor","","TBD")</f>
        <v/>
      </c>
      <c r="P179">
        <f>IF(O179="","",IF(OR(G179="channeling",G179="infusing"),"Magical",IF(G179="blocking","Anti-Physical",IF(G179="warding","Anti-Magical","Physical"))))</f>
        <v/>
      </c>
    </row>
    <row r="180">
      <c r="J180">
        <f>IF(G180="","",IFERROR(IF(G180="infusing",IFERROR(LOOKUP(2,1/ISNUMBER(SEARCH(_lookup!$D$3:$D$4,H180)),_lookup!$E$3:$E$4),"INT"),VLOOKUP(G180,_lookup!$A$3:$B$14,2,FALSE)),""))</f>
        <v/>
      </c>
      <c r="K180">
        <f>IF(F180&lt;&gt;"weapon","",IF(G180="miscellaneous","1-4",IF(I180="","",IFERROR(VLOOKUP(I180&amp;"|"&amp;IF(LEFT(H180,2)="2H",2,1)&amp;"|"&amp;IF(G180="slashing",1,0),_lookup!$G$3:$H$18,2,FALSE),""))))</f>
        <v/>
      </c>
      <c r="L180">
        <f>IF(K180="","",IF(OR(G180="channeling",G180="infusing"),"Magical",IF(G180="blocking","Anti-Physical",IF(G180="warding","Anti-Magical","Physical"))))</f>
        <v/>
      </c>
      <c r="O180">
        <f>IF(F180&lt;&gt;"armor","","TBD")</f>
        <v/>
      </c>
      <c r="P180">
        <f>IF(O180="","",IF(OR(G180="channeling",G180="infusing"),"Magical",IF(G180="blocking","Anti-Physical",IF(G180="warding","Anti-Magical","Physical"))))</f>
        <v/>
      </c>
    </row>
    <row r="181">
      <c r="J181">
        <f>IF(G181="","",IFERROR(IF(G181="infusing",IFERROR(LOOKUP(2,1/ISNUMBER(SEARCH(_lookup!$D$3:$D$4,H181)),_lookup!$E$3:$E$4),"INT"),VLOOKUP(G181,_lookup!$A$3:$B$14,2,FALSE)),""))</f>
        <v/>
      </c>
      <c r="K181">
        <f>IF(F181&lt;&gt;"weapon","",IF(G181="miscellaneous","1-4",IF(I181="","",IFERROR(VLOOKUP(I181&amp;"|"&amp;IF(LEFT(H181,2)="2H",2,1)&amp;"|"&amp;IF(G181="slashing",1,0),_lookup!$G$3:$H$18,2,FALSE),""))))</f>
        <v/>
      </c>
      <c r="L181">
        <f>IF(K181="","",IF(OR(G181="channeling",G181="infusing"),"Magical",IF(G181="blocking","Anti-Physical",IF(G181="warding","Anti-Magical","Physical"))))</f>
        <v/>
      </c>
      <c r="O181">
        <f>IF(F181&lt;&gt;"armor","","TBD")</f>
        <v/>
      </c>
      <c r="P181">
        <f>IF(O181="","",IF(OR(G181="channeling",G181="infusing"),"Magical",IF(G181="blocking","Anti-Physical",IF(G181="warding","Anti-Magical","Physical"))))</f>
        <v/>
      </c>
    </row>
    <row r="182">
      <c r="J182">
        <f>IF(G182="","",IFERROR(IF(G182="infusing",IFERROR(LOOKUP(2,1/ISNUMBER(SEARCH(_lookup!$D$3:$D$4,H182)),_lookup!$E$3:$E$4),"INT"),VLOOKUP(G182,_lookup!$A$3:$B$14,2,FALSE)),""))</f>
        <v/>
      </c>
      <c r="K182">
        <f>IF(F182&lt;&gt;"weapon","",IF(G182="miscellaneous","1-4",IF(I182="","",IFERROR(VLOOKUP(I182&amp;"|"&amp;IF(LEFT(H182,2)="2H",2,1)&amp;"|"&amp;IF(G182="slashing",1,0),_lookup!$G$3:$H$18,2,FALSE),""))))</f>
        <v/>
      </c>
      <c r="L182">
        <f>IF(K182="","",IF(OR(G182="channeling",G182="infusing"),"Magical",IF(G182="blocking","Anti-Physical",IF(G182="warding","Anti-Magical","Physical"))))</f>
        <v/>
      </c>
      <c r="O182">
        <f>IF(F182&lt;&gt;"armor","","TBD")</f>
        <v/>
      </c>
      <c r="P182">
        <f>IF(O182="","",IF(OR(G182="channeling",G182="infusing"),"Magical",IF(G182="blocking","Anti-Physical",IF(G182="warding","Anti-Magical","Physical"))))</f>
        <v/>
      </c>
    </row>
    <row r="183">
      <c r="J183">
        <f>IF(G183="","",IFERROR(IF(G183="infusing",IFERROR(LOOKUP(2,1/ISNUMBER(SEARCH(_lookup!$D$3:$D$4,H183)),_lookup!$E$3:$E$4),"INT"),VLOOKUP(G183,_lookup!$A$3:$B$14,2,FALSE)),""))</f>
        <v/>
      </c>
      <c r="K183">
        <f>IF(F183&lt;&gt;"weapon","",IF(G183="miscellaneous","1-4",IF(I183="","",IFERROR(VLOOKUP(I183&amp;"|"&amp;IF(LEFT(H183,2)="2H",2,1)&amp;"|"&amp;IF(G183="slashing",1,0),_lookup!$G$3:$H$18,2,FALSE),""))))</f>
        <v/>
      </c>
      <c r="L183">
        <f>IF(K183="","",IF(OR(G183="channeling",G183="infusing"),"Magical",IF(G183="blocking","Anti-Physical",IF(G183="warding","Anti-Magical","Physical"))))</f>
        <v/>
      </c>
      <c r="O183">
        <f>IF(F183&lt;&gt;"armor","","TBD")</f>
        <v/>
      </c>
      <c r="P183">
        <f>IF(O183="","",IF(OR(G183="channeling",G183="infusing"),"Magical",IF(G183="blocking","Anti-Physical",IF(G183="warding","Anti-Magical","Physical"))))</f>
        <v/>
      </c>
    </row>
    <row r="184">
      <c r="J184">
        <f>IF(G184="","",IFERROR(IF(G184="infusing",IFERROR(LOOKUP(2,1/ISNUMBER(SEARCH(_lookup!$D$3:$D$4,H184)),_lookup!$E$3:$E$4),"INT"),VLOOKUP(G184,_lookup!$A$3:$B$14,2,FALSE)),""))</f>
        <v/>
      </c>
      <c r="K184">
        <f>IF(F184&lt;&gt;"weapon","",IF(G184="miscellaneous","1-4",IF(I184="","",IFERROR(VLOOKUP(I184&amp;"|"&amp;IF(LEFT(H184,2)="2H",2,1)&amp;"|"&amp;IF(G184="slashing",1,0),_lookup!$G$3:$H$18,2,FALSE),""))))</f>
        <v/>
      </c>
      <c r="L184">
        <f>IF(K184="","",IF(OR(G184="channeling",G184="infusing"),"Magical",IF(G184="blocking","Anti-Physical",IF(G184="warding","Anti-Magical","Physical"))))</f>
        <v/>
      </c>
      <c r="O184">
        <f>IF(F184&lt;&gt;"armor","","TBD")</f>
        <v/>
      </c>
      <c r="P184">
        <f>IF(O184="","",IF(OR(G184="channeling",G184="infusing"),"Magical",IF(G184="blocking","Anti-Physical",IF(G184="warding","Anti-Magical","Physical"))))</f>
        <v/>
      </c>
    </row>
    <row r="185">
      <c r="J185">
        <f>IF(G185="","",IFERROR(IF(G185="infusing",IFERROR(LOOKUP(2,1/ISNUMBER(SEARCH(_lookup!$D$3:$D$4,H185)),_lookup!$E$3:$E$4),"INT"),VLOOKUP(G185,_lookup!$A$3:$B$14,2,FALSE)),""))</f>
        <v/>
      </c>
      <c r="K185">
        <f>IF(F185&lt;&gt;"weapon","",IF(G185="miscellaneous","1-4",IF(I185="","",IFERROR(VLOOKUP(I185&amp;"|"&amp;IF(LEFT(H185,2)="2H",2,1)&amp;"|"&amp;IF(G185="slashing",1,0),_lookup!$G$3:$H$18,2,FALSE),""))))</f>
        <v/>
      </c>
      <c r="L185">
        <f>IF(K185="","",IF(OR(G185="channeling",G185="infusing"),"Magical",IF(G185="blocking","Anti-Physical",IF(G185="warding","Anti-Magical","Physical"))))</f>
        <v/>
      </c>
      <c r="O185">
        <f>IF(F185&lt;&gt;"armor","","TBD")</f>
        <v/>
      </c>
      <c r="P185">
        <f>IF(O185="","",IF(OR(G185="channeling",G185="infusing"),"Magical",IF(G185="blocking","Anti-Physical",IF(G185="warding","Anti-Magical","Physical"))))</f>
        <v/>
      </c>
    </row>
    <row r="186">
      <c r="J186">
        <f>IF(G186="","",IFERROR(IF(G186="infusing",IFERROR(LOOKUP(2,1/ISNUMBER(SEARCH(_lookup!$D$3:$D$4,H186)),_lookup!$E$3:$E$4),"INT"),VLOOKUP(G186,_lookup!$A$3:$B$14,2,FALSE)),""))</f>
        <v/>
      </c>
      <c r="K186">
        <f>IF(F186&lt;&gt;"weapon","",IF(G186="miscellaneous","1-4",IF(I186="","",IFERROR(VLOOKUP(I186&amp;"|"&amp;IF(LEFT(H186,2)="2H",2,1)&amp;"|"&amp;IF(G186="slashing",1,0),_lookup!$G$3:$H$18,2,FALSE),""))))</f>
        <v/>
      </c>
      <c r="L186">
        <f>IF(K186="","",IF(OR(G186="channeling",G186="infusing"),"Magical",IF(G186="blocking","Anti-Physical",IF(G186="warding","Anti-Magical","Physical"))))</f>
        <v/>
      </c>
      <c r="O186">
        <f>IF(F186&lt;&gt;"armor","","TBD")</f>
        <v/>
      </c>
      <c r="P186">
        <f>IF(O186="","",IF(OR(G186="channeling",G186="infusing"),"Magical",IF(G186="blocking","Anti-Physical",IF(G186="warding","Anti-Magical","Physical"))))</f>
        <v/>
      </c>
    </row>
    <row r="187">
      <c r="J187">
        <f>IF(G187="","",IFERROR(IF(G187="infusing",IFERROR(LOOKUP(2,1/ISNUMBER(SEARCH(_lookup!$D$3:$D$4,H187)),_lookup!$E$3:$E$4),"INT"),VLOOKUP(G187,_lookup!$A$3:$B$14,2,FALSE)),""))</f>
        <v/>
      </c>
      <c r="K187">
        <f>IF(F187&lt;&gt;"weapon","",IF(G187="miscellaneous","1-4",IF(I187="","",IFERROR(VLOOKUP(I187&amp;"|"&amp;IF(LEFT(H187,2)="2H",2,1)&amp;"|"&amp;IF(G187="slashing",1,0),_lookup!$G$3:$H$18,2,FALSE),""))))</f>
        <v/>
      </c>
      <c r="L187">
        <f>IF(K187="","",IF(OR(G187="channeling",G187="infusing"),"Magical",IF(G187="blocking","Anti-Physical",IF(G187="warding","Anti-Magical","Physical"))))</f>
        <v/>
      </c>
      <c r="O187">
        <f>IF(F187&lt;&gt;"armor","","TBD")</f>
        <v/>
      </c>
      <c r="P187">
        <f>IF(O187="","",IF(OR(G187="channeling",G187="infusing"),"Magical",IF(G187="blocking","Anti-Physical",IF(G187="warding","Anti-Magical","Physical"))))</f>
        <v/>
      </c>
    </row>
    <row r="188">
      <c r="J188">
        <f>IF(G188="","",IFERROR(IF(G188="infusing",IFERROR(LOOKUP(2,1/ISNUMBER(SEARCH(_lookup!$D$3:$D$4,H188)),_lookup!$E$3:$E$4),"INT"),VLOOKUP(G188,_lookup!$A$3:$B$14,2,FALSE)),""))</f>
        <v/>
      </c>
      <c r="K188">
        <f>IF(F188&lt;&gt;"weapon","",IF(G188="miscellaneous","1-4",IF(I188="","",IFERROR(VLOOKUP(I188&amp;"|"&amp;IF(LEFT(H188,2)="2H",2,1)&amp;"|"&amp;IF(G188="slashing",1,0),_lookup!$G$3:$H$18,2,FALSE),""))))</f>
        <v/>
      </c>
      <c r="L188">
        <f>IF(K188="","",IF(OR(G188="channeling",G188="infusing"),"Magical",IF(G188="blocking","Anti-Physical",IF(G188="warding","Anti-Magical","Physical"))))</f>
        <v/>
      </c>
      <c r="O188">
        <f>IF(F188&lt;&gt;"armor","","TBD")</f>
        <v/>
      </c>
      <c r="P188">
        <f>IF(O188="","",IF(OR(G188="channeling",G188="infusing"),"Magical",IF(G188="blocking","Anti-Physical",IF(G188="warding","Anti-Magical","Physical"))))</f>
        <v/>
      </c>
    </row>
    <row r="189">
      <c r="J189">
        <f>IF(G189="","",IFERROR(IF(G189="infusing",IFERROR(LOOKUP(2,1/ISNUMBER(SEARCH(_lookup!$D$3:$D$4,H189)),_lookup!$E$3:$E$4),"INT"),VLOOKUP(G189,_lookup!$A$3:$B$14,2,FALSE)),""))</f>
        <v/>
      </c>
      <c r="K189">
        <f>IF(F189&lt;&gt;"weapon","",IF(G189="miscellaneous","1-4",IF(I189="","",IFERROR(VLOOKUP(I189&amp;"|"&amp;IF(LEFT(H189,2)="2H",2,1)&amp;"|"&amp;IF(G189="slashing",1,0),_lookup!$G$3:$H$18,2,FALSE),""))))</f>
        <v/>
      </c>
      <c r="L189">
        <f>IF(K189="","",IF(OR(G189="channeling",G189="infusing"),"Magical",IF(G189="blocking","Anti-Physical",IF(G189="warding","Anti-Magical","Physical"))))</f>
        <v/>
      </c>
      <c r="O189">
        <f>IF(F189&lt;&gt;"armor","","TBD")</f>
        <v/>
      </c>
      <c r="P189">
        <f>IF(O189="","",IF(OR(G189="channeling",G189="infusing"),"Magical",IF(G189="blocking","Anti-Physical",IF(G189="warding","Anti-Magical","Physical"))))</f>
        <v/>
      </c>
    </row>
    <row r="190">
      <c r="J190">
        <f>IF(G190="","",IFERROR(IF(G190="infusing",IFERROR(LOOKUP(2,1/ISNUMBER(SEARCH(_lookup!$D$3:$D$4,H190)),_lookup!$E$3:$E$4),"INT"),VLOOKUP(G190,_lookup!$A$3:$B$14,2,FALSE)),""))</f>
        <v/>
      </c>
      <c r="K190">
        <f>IF(F190&lt;&gt;"weapon","",IF(G190="miscellaneous","1-4",IF(I190="","",IFERROR(VLOOKUP(I190&amp;"|"&amp;IF(LEFT(H190,2)="2H",2,1)&amp;"|"&amp;IF(G190="slashing",1,0),_lookup!$G$3:$H$18,2,FALSE),""))))</f>
        <v/>
      </c>
      <c r="L190">
        <f>IF(K190="","",IF(OR(G190="channeling",G190="infusing"),"Magical",IF(G190="blocking","Anti-Physical",IF(G190="warding","Anti-Magical","Physical"))))</f>
        <v/>
      </c>
      <c r="O190">
        <f>IF(F190&lt;&gt;"armor","","TBD")</f>
        <v/>
      </c>
      <c r="P190">
        <f>IF(O190="","",IF(OR(G190="channeling",G190="infusing"),"Magical",IF(G190="blocking","Anti-Physical",IF(G190="warding","Anti-Magical","Physical"))))</f>
        <v/>
      </c>
    </row>
    <row r="191">
      <c r="J191">
        <f>IF(G191="","",IFERROR(IF(G191="infusing",IFERROR(LOOKUP(2,1/ISNUMBER(SEARCH(_lookup!$D$3:$D$4,H191)),_lookup!$E$3:$E$4),"INT"),VLOOKUP(G191,_lookup!$A$3:$B$14,2,FALSE)),""))</f>
        <v/>
      </c>
      <c r="K191">
        <f>IF(F191&lt;&gt;"weapon","",IF(G191="miscellaneous","1-4",IF(I191="","",IFERROR(VLOOKUP(I191&amp;"|"&amp;IF(LEFT(H191,2)="2H",2,1)&amp;"|"&amp;IF(G191="slashing",1,0),_lookup!$G$3:$H$18,2,FALSE),""))))</f>
        <v/>
      </c>
      <c r="L191">
        <f>IF(K191="","",IF(OR(G191="channeling",G191="infusing"),"Magical",IF(G191="blocking","Anti-Physical",IF(G191="warding","Anti-Magical","Physical"))))</f>
        <v/>
      </c>
      <c r="O191">
        <f>IF(F191&lt;&gt;"armor","","TBD")</f>
        <v/>
      </c>
      <c r="P191">
        <f>IF(O191="","",IF(OR(G191="channeling",G191="infusing"),"Magical",IF(G191="blocking","Anti-Physical",IF(G191="warding","Anti-Magical","Physical"))))</f>
        <v/>
      </c>
    </row>
    <row r="192">
      <c r="J192">
        <f>IF(G192="","",IFERROR(IF(G192="infusing",IFERROR(LOOKUP(2,1/ISNUMBER(SEARCH(_lookup!$D$3:$D$4,H192)),_lookup!$E$3:$E$4),"INT"),VLOOKUP(G192,_lookup!$A$3:$B$14,2,FALSE)),""))</f>
        <v/>
      </c>
      <c r="K192">
        <f>IF(F192&lt;&gt;"weapon","",IF(G192="miscellaneous","1-4",IF(I192="","",IFERROR(VLOOKUP(I192&amp;"|"&amp;IF(LEFT(H192,2)="2H",2,1)&amp;"|"&amp;IF(G192="slashing",1,0),_lookup!$G$3:$H$18,2,FALSE),""))))</f>
        <v/>
      </c>
      <c r="L192">
        <f>IF(K192="","",IF(OR(G192="channeling",G192="infusing"),"Magical",IF(G192="blocking","Anti-Physical",IF(G192="warding","Anti-Magical","Physical"))))</f>
        <v/>
      </c>
      <c r="O192">
        <f>IF(F192&lt;&gt;"armor","","TBD")</f>
        <v/>
      </c>
      <c r="P192">
        <f>IF(O192="","",IF(OR(G192="channeling",G192="infusing"),"Magical",IF(G192="blocking","Anti-Physical",IF(G192="warding","Anti-Magical","Physical"))))</f>
        <v/>
      </c>
    </row>
    <row r="193">
      <c r="J193">
        <f>IF(G193="","",IFERROR(IF(G193="infusing",IFERROR(LOOKUP(2,1/ISNUMBER(SEARCH(_lookup!$D$3:$D$4,H193)),_lookup!$E$3:$E$4),"INT"),VLOOKUP(G193,_lookup!$A$3:$B$14,2,FALSE)),""))</f>
        <v/>
      </c>
      <c r="K193">
        <f>IF(F193&lt;&gt;"weapon","",IF(G193="miscellaneous","1-4",IF(I193="","",IFERROR(VLOOKUP(I193&amp;"|"&amp;IF(LEFT(H193,2)="2H",2,1)&amp;"|"&amp;IF(G193="slashing",1,0),_lookup!$G$3:$H$18,2,FALSE),""))))</f>
        <v/>
      </c>
      <c r="L193">
        <f>IF(K193="","",IF(OR(G193="channeling",G193="infusing"),"Magical",IF(G193="blocking","Anti-Physical",IF(G193="warding","Anti-Magical","Physical"))))</f>
        <v/>
      </c>
      <c r="O193">
        <f>IF(F193&lt;&gt;"armor","","TBD")</f>
        <v/>
      </c>
      <c r="P193">
        <f>IF(O193="","",IF(OR(G193="channeling",G193="infusing"),"Magical",IF(G193="blocking","Anti-Physical",IF(G193="warding","Anti-Magical","Physical"))))</f>
        <v/>
      </c>
    </row>
    <row r="194">
      <c r="J194">
        <f>IF(G194="","",IFERROR(IF(G194="infusing",IFERROR(LOOKUP(2,1/ISNUMBER(SEARCH(_lookup!$D$3:$D$4,H194)),_lookup!$E$3:$E$4),"INT"),VLOOKUP(G194,_lookup!$A$3:$B$14,2,FALSE)),""))</f>
        <v/>
      </c>
      <c r="K194">
        <f>IF(F194&lt;&gt;"weapon","",IF(G194="miscellaneous","1-4",IF(I194="","",IFERROR(VLOOKUP(I194&amp;"|"&amp;IF(LEFT(H194,2)="2H",2,1)&amp;"|"&amp;IF(G194="slashing",1,0),_lookup!$G$3:$H$18,2,FALSE),""))))</f>
        <v/>
      </c>
      <c r="L194">
        <f>IF(K194="","",IF(OR(G194="channeling",G194="infusing"),"Magical",IF(G194="blocking","Anti-Physical",IF(G194="warding","Anti-Magical","Physical"))))</f>
        <v/>
      </c>
      <c r="O194">
        <f>IF(F194&lt;&gt;"armor","","TBD")</f>
        <v/>
      </c>
      <c r="P194">
        <f>IF(O194="","",IF(OR(G194="channeling",G194="infusing"),"Magical",IF(G194="blocking","Anti-Physical",IF(G194="warding","Anti-Magical","Physical"))))</f>
        <v/>
      </c>
    </row>
    <row r="195">
      <c r="J195">
        <f>IF(G195="","",IFERROR(IF(G195="infusing",IFERROR(LOOKUP(2,1/ISNUMBER(SEARCH(_lookup!$D$3:$D$4,H195)),_lookup!$E$3:$E$4),"INT"),VLOOKUP(G195,_lookup!$A$3:$B$14,2,FALSE)),""))</f>
        <v/>
      </c>
      <c r="K195">
        <f>IF(F195&lt;&gt;"weapon","",IF(G195="miscellaneous","1-4",IF(I195="","",IFERROR(VLOOKUP(I195&amp;"|"&amp;IF(LEFT(H195,2)="2H",2,1)&amp;"|"&amp;IF(G195="slashing",1,0),_lookup!$G$3:$H$18,2,FALSE),""))))</f>
        <v/>
      </c>
      <c r="L195">
        <f>IF(K195="","",IF(OR(G195="channeling",G195="infusing"),"Magical",IF(G195="blocking","Anti-Physical",IF(G195="warding","Anti-Magical","Physical"))))</f>
        <v/>
      </c>
      <c r="O195">
        <f>IF(F195&lt;&gt;"armor","","TBD")</f>
        <v/>
      </c>
      <c r="P195">
        <f>IF(O195="","",IF(OR(G195="channeling",G195="infusing"),"Magical",IF(G195="blocking","Anti-Physical",IF(G195="warding","Anti-Magical","Physical"))))</f>
        <v/>
      </c>
    </row>
    <row r="196">
      <c r="J196">
        <f>IF(G196="","",IFERROR(IF(G196="infusing",IFERROR(LOOKUP(2,1/ISNUMBER(SEARCH(_lookup!$D$3:$D$4,H196)),_lookup!$E$3:$E$4),"INT"),VLOOKUP(G196,_lookup!$A$3:$B$14,2,FALSE)),""))</f>
        <v/>
      </c>
      <c r="K196">
        <f>IF(F196&lt;&gt;"weapon","",IF(G196="miscellaneous","1-4",IF(I196="","",IFERROR(VLOOKUP(I196&amp;"|"&amp;IF(LEFT(H196,2)="2H",2,1)&amp;"|"&amp;IF(G196="slashing",1,0),_lookup!$G$3:$H$18,2,FALSE),""))))</f>
        <v/>
      </c>
      <c r="L196">
        <f>IF(K196="","",IF(OR(G196="channeling",G196="infusing"),"Magical",IF(G196="blocking","Anti-Physical",IF(G196="warding","Anti-Magical","Physical"))))</f>
        <v/>
      </c>
      <c r="O196">
        <f>IF(F196&lt;&gt;"armor","","TBD")</f>
        <v/>
      </c>
      <c r="P196">
        <f>IF(O196="","",IF(OR(G196="channeling",G196="infusing"),"Magical",IF(G196="blocking","Anti-Physical",IF(G196="warding","Anti-Magical","Physical"))))</f>
        <v/>
      </c>
    </row>
    <row r="197">
      <c r="J197">
        <f>IF(G197="","",IFERROR(IF(G197="infusing",IFERROR(LOOKUP(2,1/ISNUMBER(SEARCH(_lookup!$D$3:$D$4,H197)),_lookup!$E$3:$E$4),"INT"),VLOOKUP(G197,_lookup!$A$3:$B$14,2,FALSE)),""))</f>
        <v/>
      </c>
      <c r="K197">
        <f>IF(F197&lt;&gt;"weapon","",IF(G197="miscellaneous","1-4",IF(I197="","",IFERROR(VLOOKUP(I197&amp;"|"&amp;IF(LEFT(H197,2)="2H",2,1)&amp;"|"&amp;IF(G197="slashing",1,0),_lookup!$G$3:$H$18,2,FALSE),""))))</f>
        <v/>
      </c>
      <c r="L197">
        <f>IF(K197="","",IF(OR(G197="channeling",G197="infusing"),"Magical",IF(G197="blocking","Anti-Physical",IF(G197="warding","Anti-Magical","Physical"))))</f>
        <v/>
      </c>
      <c r="O197">
        <f>IF(F197&lt;&gt;"armor","","TBD")</f>
        <v/>
      </c>
      <c r="P197">
        <f>IF(O197="","",IF(OR(G197="channeling",G197="infusing"),"Magical",IF(G197="blocking","Anti-Physical",IF(G197="warding","Anti-Magical","Physical"))))</f>
        <v/>
      </c>
    </row>
    <row r="198">
      <c r="J198">
        <f>IF(G198="","",IFERROR(IF(G198="infusing",IFERROR(LOOKUP(2,1/ISNUMBER(SEARCH(_lookup!$D$3:$D$4,H198)),_lookup!$E$3:$E$4),"INT"),VLOOKUP(G198,_lookup!$A$3:$B$14,2,FALSE)),""))</f>
        <v/>
      </c>
      <c r="K198">
        <f>IF(F198&lt;&gt;"weapon","",IF(G198="miscellaneous","1-4",IF(I198="","",IFERROR(VLOOKUP(I198&amp;"|"&amp;IF(LEFT(H198,2)="2H",2,1)&amp;"|"&amp;IF(G198="slashing",1,0),_lookup!$G$3:$H$18,2,FALSE),""))))</f>
        <v/>
      </c>
      <c r="L198">
        <f>IF(K198="","",IF(OR(G198="channeling",G198="infusing"),"Magical",IF(G198="blocking","Anti-Physical",IF(G198="warding","Anti-Magical","Physical"))))</f>
        <v/>
      </c>
      <c r="O198">
        <f>IF(F198&lt;&gt;"armor","","TBD")</f>
        <v/>
      </c>
      <c r="P198">
        <f>IF(O198="","",IF(OR(G198="channeling",G198="infusing"),"Magical",IF(G198="blocking","Anti-Physical",IF(G198="warding","Anti-Magical","Physical"))))</f>
        <v/>
      </c>
    </row>
    <row r="199">
      <c r="J199">
        <f>IF(G199="","",IFERROR(IF(G199="infusing",IFERROR(LOOKUP(2,1/ISNUMBER(SEARCH(_lookup!$D$3:$D$4,H199)),_lookup!$E$3:$E$4),"INT"),VLOOKUP(G199,_lookup!$A$3:$B$14,2,FALSE)),""))</f>
        <v/>
      </c>
      <c r="K199">
        <f>IF(F199&lt;&gt;"weapon","",IF(G199="miscellaneous","1-4",IF(I199="","",IFERROR(VLOOKUP(I199&amp;"|"&amp;IF(LEFT(H199,2)="2H",2,1)&amp;"|"&amp;IF(G199="slashing",1,0),_lookup!$G$3:$H$18,2,FALSE),""))))</f>
        <v/>
      </c>
      <c r="L199">
        <f>IF(K199="","",IF(OR(G199="channeling",G199="infusing"),"Magical",IF(G199="blocking","Anti-Physical",IF(G199="warding","Anti-Magical","Physical"))))</f>
        <v/>
      </c>
      <c r="O199">
        <f>IF(F199&lt;&gt;"armor","","TBD")</f>
        <v/>
      </c>
      <c r="P199">
        <f>IF(O199="","",IF(OR(G199="channeling",G199="infusing"),"Magical",IF(G199="blocking","Anti-Physical",IF(G199="warding","Anti-Magical","Physical"))))</f>
        <v/>
      </c>
    </row>
    <row r="200">
      <c r="J200">
        <f>IF(G200="","",IFERROR(IF(G200="infusing",IFERROR(LOOKUP(2,1/ISNUMBER(SEARCH(_lookup!$D$3:$D$4,H200)),_lookup!$E$3:$E$4),"INT"),VLOOKUP(G200,_lookup!$A$3:$B$14,2,FALSE)),""))</f>
        <v/>
      </c>
      <c r="K200">
        <f>IF(F200&lt;&gt;"weapon","",IF(G200="miscellaneous","1-4",IF(I200="","",IFERROR(VLOOKUP(I200&amp;"|"&amp;IF(LEFT(H200,2)="2H",2,1)&amp;"|"&amp;IF(G200="slashing",1,0),_lookup!$G$3:$H$18,2,FALSE),""))))</f>
        <v/>
      </c>
      <c r="L200">
        <f>IF(K200="","",IF(OR(G200="channeling",G200="infusing"),"Magical",IF(G200="blocking","Anti-Physical",IF(G200="warding","Anti-Magical","Physical"))))</f>
        <v/>
      </c>
      <c r="O200">
        <f>IF(F200&lt;&gt;"armor","","TBD")</f>
        <v/>
      </c>
      <c r="P200">
        <f>IF(O200="","",IF(OR(G200="channeling",G200="infusing"),"Magical",IF(G200="blocking","Anti-Physical",IF(G200="warding","Anti-Magical","Physical"))))</f>
        <v/>
      </c>
    </row>
    <row r="201">
      <c r="J201">
        <f>IF(G201="","",IFERROR(IF(G201="infusing",IFERROR(LOOKUP(2,1/ISNUMBER(SEARCH(_lookup!$D$3:$D$4,H201)),_lookup!$E$3:$E$4),"INT"),VLOOKUP(G201,_lookup!$A$3:$B$14,2,FALSE)),""))</f>
        <v/>
      </c>
      <c r="K201">
        <f>IF(F201&lt;&gt;"weapon","",IF(G201="miscellaneous","1-4",IF(I201="","",IFERROR(VLOOKUP(I201&amp;"|"&amp;IF(LEFT(H201,2)="2H",2,1)&amp;"|"&amp;IF(G201="slashing",1,0),_lookup!$G$3:$H$18,2,FALSE),""))))</f>
        <v/>
      </c>
      <c r="L201">
        <f>IF(K201="","",IF(OR(G201="channeling",G201="infusing"),"Magical",IF(G201="blocking","Anti-Physical",IF(G201="warding","Anti-Magical","Physical"))))</f>
        <v/>
      </c>
      <c r="O201">
        <f>IF(F201&lt;&gt;"armor","","TBD")</f>
        <v/>
      </c>
      <c r="P201">
        <f>IF(O201="","",IF(OR(G201="channeling",G201="infusing"),"Magical",IF(G201="blocking","Anti-Physical",IF(G201="warding","Anti-Magical","Physical"))))</f>
        <v/>
      </c>
    </row>
    <row r="202">
      <c r="J202">
        <f>IF(G202="","",IFERROR(IF(G202="infusing",IFERROR(LOOKUP(2,1/ISNUMBER(SEARCH(_lookup!$D$3:$D$4,H202)),_lookup!$E$3:$E$4),"INT"),VLOOKUP(G202,_lookup!$A$3:$B$14,2,FALSE)),""))</f>
        <v/>
      </c>
      <c r="K202">
        <f>IF(F202&lt;&gt;"weapon","",IF(G202="miscellaneous","1-4",IF(I202="","",IFERROR(VLOOKUP(I202&amp;"|"&amp;IF(LEFT(H202,2)="2H",2,1)&amp;"|"&amp;IF(G202="slashing",1,0),_lookup!$G$3:$H$18,2,FALSE),""))))</f>
        <v/>
      </c>
      <c r="L202">
        <f>IF(K202="","",IF(OR(G202="channeling",G202="infusing"),"Magical",IF(G202="blocking","Anti-Physical",IF(G202="warding","Anti-Magical","Physical"))))</f>
        <v/>
      </c>
      <c r="O202">
        <f>IF(F202&lt;&gt;"armor","","TBD")</f>
        <v/>
      </c>
      <c r="P202">
        <f>IF(O202="","",IF(OR(G202="channeling",G202="infusing"),"Magical",IF(G202="blocking","Anti-Physical",IF(G202="warding","Anti-Magical","Physical"))))</f>
        <v/>
      </c>
    </row>
    <row r="203">
      <c r="J203">
        <f>IF(G203="","",IFERROR(IF(G203="infusing",IFERROR(LOOKUP(2,1/ISNUMBER(SEARCH(_lookup!$D$3:$D$4,H203)),_lookup!$E$3:$E$4),"INT"),VLOOKUP(G203,_lookup!$A$3:$B$14,2,FALSE)),""))</f>
        <v/>
      </c>
      <c r="K203">
        <f>IF(F203&lt;&gt;"weapon","",IF(G203="miscellaneous","1-4",IF(I203="","",IFERROR(VLOOKUP(I203&amp;"|"&amp;IF(LEFT(H203,2)="2H",2,1)&amp;"|"&amp;IF(G203="slashing",1,0),_lookup!$G$3:$H$18,2,FALSE),""))))</f>
        <v/>
      </c>
      <c r="L203">
        <f>IF(K203="","",IF(OR(G203="channeling",G203="infusing"),"Magical",IF(G203="blocking","Anti-Physical",IF(G203="warding","Anti-Magical","Physical"))))</f>
        <v/>
      </c>
      <c r="O203">
        <f>IF(F203&lt;&gt;"armor","","TBD")</f>
        <v/>
      </c>
      <c r="P203">
        <f>IF(O203="","",IF(OR(G203="channeling",G203="infusing"),"Magical",IF(G203="blocking","Anti-Physical",IF(G203="warding","Anti-Magical","Physical"))))</f>
        <v/>
      </c>
    </row>
    <row r="204">
      <c r="J204">
        <f>IF(G204="","",IFERROR(IF(G204="infusing",IFERROR(LOOKUP(2,1/ISNUMBER(SEARCH(_lookup!$D$3:$D$4,H204)),_lookup!$E$3:$E$4),"INT"),VLOOKUP(G204,_lookup!$A$3:$B$14,2,FALSE)),""))</f>
        <v/>
      </c>
      <c r="K204">
        <f>IF(F204&lt;&gt;"weapon","",IF(G204="miscellaneous","1-4",IF(I204="","",IFERROR(VLOOKUP(I204&amp;"|"&amp;IF(LEFT(H204,2)="2H",2,1)&amp;"|"&amp;IF(G204="slashing",1,0),_lookup!$G$3:$H$18,2,FALSE),""))))</f>
        <v/>
      </c>
      <c r="L204">
        <f>IF(K204="","",IF(OR(G204="channeling",G204="infusing"),"Magical",IF(G204="blocking","Anti-Physical",IF(G204="warding","Anti-Magical","Physical"))))</f>
        <v/>
      </c>
      <c r="O204">
        <f>IF(F204&lt;&gt;"armor","","TBD")</f>
        <v/>
      </c>
      <c r="P204">
        <f>IF(O204="","",IF(OR(G204="channeling",G204="infusing"),"Magical",IF(G204="blocking","Anti-Physical",IF(G204="warding","Anti-Magical","Physical"))))</f>
        <v/>
      </c>
    </row>
    <row r="205">
      <c r="J205">
        <f>IF(G205="","",IFERROR(IF(G205="infusing",IFERROR(LOOKUP(2,1/ISNUMBER(SEARCH(_lookup!$D$3:$D$4,H205)),_lookup!$E$3:$E$4),"INT"),VLOOKUP(G205,_lookup!$A$3:$B$14,2,FALSE)),""))</f>
        <v/>
      </c>
      <c r="K205">
        <f>IF(F205&lt;&gt;"weapon","",IF(G205="miscellaneous","1-4",IF(I205="","",IFERROR(VLOOKUP(I205&amp;"|"&amp;IF(LEFT(H205,2)="2H",2,1)&amp;"|"&amp;IF(G205="slashing",1,0),_lookup!$G$3:$H$18,2,FALSE),""))))</f>
        <v/>
      </c>
      <c r="L205">
        <f>IF(K205="","",IF(OR(G205="channeling",G205="infusing"),"Magical",IF(G205="blocking","Anti-Physical",IF(G205="warding","Anti-Magical","Physical"))))</f>
        <v/>
      </c>
      <c r="O205">
        <f>IF(F205&lt;&gt;"armor","","TBD")</f>
        <v/>
      </c>
      <c r="P205">
        <f>IF(O205="","",IF(OR(G205="channeling",G205="infusing"),"Magical",IF(G205="blocking","Anti-Physical",IF(G205="warding","Anti-Magical","Physical"))))</f>
        <v/>
      </c>
    </row>
    <row r="206">
      <c r="J206">
        <f>IF(G206="","",IFERROR(IF(G206="infusing",IFERROR(LOOKUP(2,1/ISNUMBER(SEARCH(_lookup!$D$3:$D$4,H206)),_lookup!$E$3:$E$4),"INT"),VLOOKUP(G206,_lookup!$A$3:$B$14,2,FALSE)),""))</f>
        <v/>
      </c>
      <c r="K206">
        <f>IF(F206&lt;&gt;"weapon","",IF(G206="miscellaneous","1-4",IF(I206="","",IFERROR(VLOOKUP(I206&amp;"|"&amp;IF(LEFT(H206,2)="2H",2,1)&amp;"|"&amp;IF(G206="slashing",1,0),_lookup!$G$3:$H$18,2,FALSE),""))))</f>
        <v/>
      </c>
      <c r="L206">
        <f>IF(K206="","",IF(OR(G206="channeling",G206="infusing"),"Magical",IF(G206="blocking","Anti-Physical",IF(G206="warding","Anti-Magical","Physical"))))</f>
        <v/>
      </c>
      <c r="O206">
        <f>IF(F206&lt;&gt;"armor","","TBD")</f>
        <v/>
      </c>
      <c r="P206">
        <f>IF(O206="","",IF(OR(G206="channeling",G206="infusing"),"Magical",IF(G206="blocking","Anti-Physical",IF(G206="warding","Anti-Magical","Physical"))))</f>
        <v/>
      </c>
    </row>
    <row r="207">
      <c r="J207">
        <f>IF(G207="","",IFERROR(IF(G207="infusing",IFERROR(LOOKUP(2,1/ISNUMBER(SEARCH(_lookup!$D$3:$D$4,H207)),_lookup!$E$3:$E$4),"INT"),VLOOKUP(G207,_lookup!$A$3:$B$14,2,FALSE)),""))</f>
        <v/>
      </c>
      <c r="K207">
        <f>IF(F207&lt;&gt;"weapon","",IF(G207="miscellaneous","1-4",IF(I207="","",IFERROR(VLOOKUP(I207&amp;"|"&amp;IF(LEFT(H207,2)="2H",2,1)&amp;"|"&amp;IF(G207="slashing",1,0),_lookup!$G$3:$H$18,2,FALSE),""))))</f>
        <v/>
      </c>
      <c r="L207">
        <f>IF(K207="","",IF(OR(G207="channeling",G207="infusing"),"Magical",IF(G207="blocking","Anti-Physical",IF(G207="warding","Anti-Magical","Physical"))))</f>
        <v/>
      </c>
      <c r="O207">
        <f>IF(F207&lt;&gt;"armor","","TBD")</f>
        <v/>
      </c>
      <c r="P207">
        <f>IF(O207="","",IF(OR(G207="channeling",G207="infusing"),"Magical",IF(G207="blocking","Anti-Physical",IF(G207="warding","Anti-Magical","Physical"))))</f>
        <v/>
      </c>
    </row>
    <row r="208">
      <c r="J208">
        <f>IF(G208="","",IFERROR(IF(G208="infusing",IFERROR(LOOKUP(2,1/ISNUMBER(SEARCH(_lookup!$D$3:$D$4,H208)),_lookup!$E$3:$E$4),"INT"),VLOOKUP(G208,_lookup!$A$3:$B$14,2,FALSE)),""))</f>
        <v/>
      </c>
      <c r="K208">
        <f>IF(F208&lt;&gt;"weapon","",IF(G208="miscellaneous","1-4",IF(I208="","",IFERROR(VLOOKUP(I208&amp;"|"&amp;IF(LEFT(H208,2)="2H",2,1)&amp;"|"&amp;IF(G208="slashing",1,0),_lookup!$G$3:$H$18,2,FALSE),""))))</f>
        <v/>
      </c>
      <c r="L208">
        <f>IF(K208="","",IF(OR(G208="channeling",G208="infusing"),"Magical",IF(G208="blocking","Anti-Physical",IF(G208="warding","Anti-Magical","Physical"))))</f>
        <v/>
      </c>
      <c r="O208">
        <f>IF(F208&lt;&gt;"armor","","TBD")</f>
        <v/>
      </c>
      <c r="P208">
        <f>IF(O208="","",IF(OR(G208="channeling",G208="infusing"),"Magical",IF(G208="blocking","Anti-Physical",IF(G208="warding","Anti-Magical","Physical"))))</f>
        <v/>
      </c>
    </row>
    <row r="209">
      <c r="J209">
        <f>IF(G209="","",IFERROR(IF(G209="infusing",IFERROR(LOOKUP(2,1/ISNUMBER(SEARCH(_lookup!$D$3:$D$4,H209)),_lookup!$E$3:$E$4),"INT"),VLOOKUP(G209,_lookup!$A$3:$B$14,2,FALSE)),""))</f>
        <v/>
      </c>
      <c r="K209">
        <f>IF(F209&lt;&gt;"weapon","",IF(G209="miscellaneous","1-4",IF(I209="","",IFERROR(VLOOKUP(I209&amp;"|"&amp;IF(LEFT(H209,2)="2H",2,1)&amp;"|"&amp;IF(G209="slashing",1,0),_lookup!$G$3:$H$18,2,FALSE),""))))</f>
        <v/>
      </c>
      <c r="L209">
        <f>IF(K209="","",IF(OR(G209="channeling",G209="infusing"),"Magical",IF(G209="blocking","Anti-Physical",IF(G209="warding","Anti-Magical","Physical"))))</f>
        <v/>
      </c>
      <c r="O209">
        <f>IF(F209&lt;&gt;"armor","","TBD")</f>
        <v/>
      </c>
      <c r="P209">
        <f>IF(O209="","",IF(OR(G209="channeling",G209="infusing"),"Magical",IF(G209="blocking","Anti-Physical",IF(G209="warding","Anti-Magical","Physical"))))</f>
        <v/>
      </c>
    </row>
    <row r="210">
      <c r="J210">
        <f>IF(G210="","",IFERROR(IF(G210="infusing",IFERROR(LOOKUP(2,1/ISNUMBER(SEARCH(_lookup!$D$3:$D$4,H210)),_lookup!$E$3:$E$4),"INT"),VLOOKUP(G210,_lookup!$A$3:$B$14,2,FALSE)),""))</f>
        <v/>
      </c>
      <c r="K210">
        <f>IF(F210&lt;&gt;"weapon","",IF(G210="miscellaneous","1-4",IF(I210="","",IFERROR(VLOOKUP(I210&amp;"|"&amp;IF(LEFT(H210,2)="2H",2,1)&amp;"|"&amp;IF(G210="slashing",1,0),_lookup!$G$3:$H$18,2,FALSE),""))))</f>
        <v/>
      </c>
      <c r="L210">
        <f>IF(K210="","",IF(OR(G210="channeling",G210="infusing"),"Magical",IF(G210="blocking","Anti-Physical",IF(G210="warding","Anti-Magical","Physical"))))</f>
        <v/>
      </c>
      <c r="O210">
        <f>IF(F210&lt;&gt;"armor","","TBD")</f>
        <v/>
      </c>
      <c r="P210">
        <f>IF(O210="","",IF(OR(G210="channeling",G210="infusing"),"Magical",IF(G210="blocking","Anti-Physical",IF(G210="warding","Anti-Magical","Physical"))))</f>
        <v/>
      </c>
    </row>
    <row r="211">
      <c r="J211">
        <f>IF(G211="","",IFERROR(IF(G211="infusing",IFERROR(LOOKUP(2,1/ISNUMBER(SEARCH(_lookup!$D$3:$D$4,H211)),_lookup!$E$3:$E$4),"INT"),VLOOKUP(G211,_lookup!$A$3:$B$14,2,FALSE)),""))</f>
        <v/>
      </c>
      <c r="K211">
        <f>IF(F211&lt;&gt;"weapon","",IF(G211="miscellaneous","1-4",IF(I211="","",IFERROR(VLOOKUP(I211&amp;"|"&amp;IF(LEFT(H211,2)="2H",2,1)&amp;"|"&amp;IF(G211="slashing",1,0),_lookup!$G$3:$H$18,2,FALSE),""))))</f>
        <v/>
      </c>
      <c r="L211">
        <f>IF(K211="","",IF(OR(G211="channeling",G211="infusing"),"Magical",IF(G211="blocking","Anti-Physical",IF(G211="warding","Anti-Magical","Physical"))))</f>
        <v/>
      </c>
      <c r="O211">
        <f>IF(F211&lt;&gt;"armor","","TBD")</f>
        <v/>
      </c>
      <c r="P211">
        <f>IF(O211="","",IF(OR(G211="channeling",G211="infusing"),"Magical",IF(G211="blocking","Anti-Physical",IF(G211="warding","Anti-Magical","Physical"))))</f>
        <v/>
      </c>
    </row>
    <row r="212">
      <c r="J212">
        <f>IF(G212="","",IFERROR(IF(G212="infusing",IFERROR(LOOKUP(2,1/ISNUMBER(SEARCH(_lookup!$D$3:$D$4,H212)),_lookup!$E$3:$E$4),"INT"),VLOOKUP(G212,_lookup!$A$3:$B$14,2,FALSE)),""))</f>
        <v/>
      </c>
      <c r="K212">
        <f>IF(F212&lt;&gt;"weapon","",IF(G212="miscellaneous","1-4",IF(I212="","",IFERROR(VLOOKUP(I212&amp;"|"&amp;IF(LEFT(H212,2)="2H",2,1)&amp;"|"&amp;IF(G212="slashing",1,0),_lookup!$G$3:$H$18,2,FALSE),""))))</f>
        <v/>
      </c>
      <c r="L212">
        <f>IF(K212="","",IF(OR(G212="channeling",G212="infusing"),"Magical",IF(G212="blocking","Anti-Physical",IF(G212="warding","Anti-Magical","Physical"))))</f>
        <v/>
      </c>
      <c r="O212">
        <f>IF(F212&lt;&gt;"armor","","TBD")</f>
        <v/>
      </c>
      <c r="P212">
        <f>IF(O212="","",IF(OR(G212="channeling",G212="infusing"),"Magical",IF(G212="blocking","Anti-Physical",IF(G212="warding","Anti-Magical","Physical"))))</f>
        <v/>
      </c>
    </row>
    <row r="213">
      <c r="J213">
        <f>IF(G213="","",IFERROR(IF(G213="infusing",IFERROR(LOOKUP(2,1/ISNUMBER(SEARCH(_lookup!$D$3:$D$4,H213)),_lookup!$E$3:$E$4),"INT"),VLOOKUP(G213,_lookup!$A$3:$B$14,2,FALSE)),""))</f>
        <v/>
      </c>
      <c r="K213">
        <f>IF(F213&lt;&gt;"weapon","",IF(G213="miscellaneous","1-4",IF(I213="","",IFERROR(VLOOKUP(I213&amp;"|"&amp;IF(LEFT(H213,2)="2H",2,1)&amp;"|"&amp;IF(G213="slashing",1,0),_lookup!$G$3:$H$18,2,FALSE),""))))</f>
        <v/>
      </c>
      <c r="L213">
        <f>IF(K213="","",IF(OR(G213="channeling",G213="infusing"),"Magical",IF(G213="blocking","Anti-Physical",IF(G213="warding","Anti-Magical","Physical"))))</f>
        <v/>
      </c>
      <c r="O213">
        <f>IF(F213&lt;&gt;"armor","","TBD")</f>
        <v/>
      </c>
      <c r="P213">
        <f>IF(O213="","",IF(OR(G213="channeling",G213="infusing"),"Magical",IF(G213="blocking","Anti-Physical",IF(G213="warding","Anti-Magical","Physical"))))</f>
        <v/>
      </c>
    </row>
    <row r="214">
      <c r="J214">
        <f>IF(G214="","",IFERROR(IF(G214="infusing",IFERROR(LOOKUP(2,1/ISNUMBER(SEARCH(_lookup!$D$3:$D$4,H214)),_lookup!$E$3:$E$4),"INT"),VLOOKUP(G214,_lookup!$A$3:$B$14,2,FALSE)),""))</f>
        <v/>
      </c>
      <c r="K214">
        <f>IF(F214&lt;&gt;"weapon","",IF(G214="miscellaneous","1-4",IF(I214="","",IFERROR(VLOOKUP(I214&amp;"|"&amp;IF(LEFT(H214,2)="2H",2,1)&amp;"|"&amp;IF(G214="slashing",1,0),_lookup!$G$3:$H$18,2,FALSE),""))))</f>
        <v/>
      </c>
      <c r="L214">
        <f>IF(K214="","",IF(OR(G214="channeling",G214="infusing"),"Magical",IF(G214="blocking","Anti-Physical",IF(G214="warding","Anti-Magical","Physical"))))</f>
        <v/>
      </c>
      <c r="O214">
        <f>IF(F214&lt;&gt;"armor","","TBD")</f>
        <v/>
      </c>
      <c r="P214">
        <f>IF(O214="","",IF(OR(G214="channeling",G214="infusing"),"Magical",IF(G214="blocking","Anti-Physical",IF(G214="warding","Anti-Magical","Physical"))))</f>
        <v/>
      </c>
    </row>
    <row r="215">
      <c r="J215">
        <f>IF(G215="","",IFERROR(IF(G215="infusing",IFERROR(LOOKUP(2,1/ISNUMBER(SEARCH(_lookup!$D$3:$D$4,H215)),_lookup!$E$3:$E$4),"INT"),VLOOKUP(G215,_lookup!$A$3:$B$14,2,FALSE)),""))</f>
        <v/>
      </c>
      <c r="K215">
        <f>IF(F215&lt;&gt;"weapon","",IF(G215="miscellaneous","1-4",IF(I215="","",IFERROR(VLOOKUP(I215&amp;"|"&amp;IF(LEFT(H215,2)="2H",2,1)&amp;"|"&amp;IF(G215="slashing",1,0),_lookup!$G$3:$H$18,2,FALSE),""))))</f>
        <v/>
      </c>
      <c r="L215">
        <f>IF(K215="","",IF(OR(G215="channeling",G215="infusing"),"Magical",IF(G215="blocking","Anti-Physical",IF(G215="warding","Anti-Magical","Physical"))))</f>
        <v/>
      </c>
      <c r="O215">
        <f>IF(F215&lt;&gt;"armor","","TBD")</f>
        <v/>
      </c>
      <c r="P215">
        <f>IF(O215="","",IF(OR(G215="channeling",G215="infusing"),"Magical",IF(G215="blocking","Anti-Physical",IF(G215="warding","Anti-Magical","Physical"))))</f>
        <v/>
      </c>
    </row>
    <row r="216">
      <c r="J216">
        <f>IF(G216="","",IFERROR(IF(G216="infusing",IFERROR(LOOKUP(2,1/ISNUMBER(SEARCH(_lookup!$D$3:$D$4,H216)),_lookup!$E$3:$E$4),"INT"),VLOOKUP(G216,_lookup!$A$3:$B$14,2,FALSE)),""))</f>
        <v/>
      </c>
      <c r="K216">
        <f>IF(F216&lt;&gt;"weapon","",IF(G216="miscellaneous","1-4",IF(I216="","",IFERROR(VLOOKUP(I216&amp;"|"&amp;IF(LEFT(H216,2)="2H",2,1)&amp;"|"&amp;IF(G216="slashing",1,0),_lookup!$G$3:$H$18,2,FALSE),""))))</f>
        <v/>
      </c>
      <c r="L216">
        <f>IF(K216="","",IF(OR(G216="channeling",G216="infusing"),"Magical",IF(G216="blocking","Anti-Physical",IF(G216="warding","Anti-Magical","Physical"))))</f>
        <v/>
      </c>
      <c r="O216">
        <f>IF(F216&lt;&gt;"armor","","TBD")</f>
        <v/>
      </c>
      <c r="P216">
        <f>IF(O216="","",IF(OR(G216="channeling",G216="infusing"),"Magical",IF(G216="blocking","Anti-Physical",IF(G216="warding","Anti-Magical","Physical"))))</f>
        <v/>
      </c>
    </row>
    <row r="217">
      <c r="J217">
        <f>IF(G217="","",IFERROR(IF(G217="infusing",IFERROR(LOOKUP(2,1/ISNUMBER(SEARCH(_lookup!$D$3:$D$4,H217)),_lookup!$E$3:$E$4),"INT"),VLOOKUP(G217,_lookup!$A$3:$B$14,2,FALSE)),""))</f>
        <v/>
      </c>
      <c r="K217">
        <f>IF(F217&lt;&gt;"weapon","",IF(G217="miscellaneous","1-4",IF(I217="","",IFERROR(VLOOKUP(I217&amp;"|"&amp;IF(LEFT(H217,2)="2H",2,1)&amp;"|"&amp;IF(G217="slashing",1,0),_lookup!$G$3:$H$18,2,FALSE),""))))</f>
        <v/>
      </c>
      <c r="L217">
        <f>IF(K217="","",IF(OR(G217="channeling",G217="infusing"),"Magical",IF(G217="blocking","Anti-Physical",IF(G217="warding","Anti-Magical","Physical"))))</f>
        <v/>
      </c>
      <c r="O217">
        <f>IF(F217&lt;&gt;"armor","","TBD")</f>
        <v/>
      </c>
      <c r="P217">
        <f>IF(O217="","",IF(OR(G217="channeling",G217="infusing"),"Magical",IF(G217="blocking","Anti-Physical",IF(G217="warding","Anti-Magical","Physical"))))</f>
        <v/>
      </c>
    </row>
    <row r="218">
      <c r="J218">
        <f>IF(G218="","",IFERROR(IF(G218="infusing",IFERROR(LOOKUP(2,1/ISNUMBER(SEARCH(_lookup!$D$3:$D$4,H218)),_lookup!$E$3:$E$4),"INT"),VLOOKUP(G218,_lookup!$A$3:$B$14,2,FALSE)),""))</f>
        <v/>
      </c>
      <c r="K218">
        <f>IF(F218&lt;&gt;"weapon","",IF(G218="miscellaneous","1-4",IF(I218="","",IFERROR(VLOOKUP(I218&amp;"|"&amp;IF(LEFT(H218,2)="2H",2,1)&amp;"|"&amp;IF(G218="slashing",1,0),_lookup!$G$3:$H$18,2,FALSE),""))))</f>
        <v/>
      </c>
      <c r="L218">
        <f>IF(K218="","",IF(OR(G218="channeling",G218="infusing"),"Magical",IF(G218="blocking","Anti-Physical",IF(G218="warding","Anti-Magical","Physical"))))</f>
        <v/>
      </c>
      <c r="O218">
        <f>IF(F218&lt;&gt;"armor","","TBD")</f>
        <v/>
      </c>
      <c r="P218">
        <f>IF(O218="","",IF(OR(G218="channeling",G218="infusing"),"Magical",IF(G218="blocking","Anti-Physical",IF(G218="warding","Anti-Magical","Physical"))))</f>
        <v/>
      </c>
    </row>
    <row r="219">
      <c r="J219">
        <f>IF(G219="","",IFERROR(IF(G219="infusing",IFERROR(LOOKUP(2,1/ISNUMBER(SEARCH(_lookup!$D$3:$D$4,H219)),_lookup!$E$3:$E$4),"INT"),VLOOKUP(G219,_lookup!$A$3:$B$14,2,FALSE)),""))</f>
        <v/>
      </c>
      <c r="K219">
        <f>IF(F219&lt;&gt;"weapon","",IF(G219="miscellaneous","1-4",IF(I219="","",IFERROR(VLOOKUP(I219&amp;"|"&amp;IF(LEFT(H219,2)="2H",2,1)&amp;"|"&amp;IF(G219="slashing",1,0),_lookup!$G$3:$H$18,2,FALSE),""))))</f>
        <v/>
      </c>
      <c r="L219">
        <f>IF(K219="","",IF(OR(G219="channeling",G219="infusing"),"Magical",IF(G219="blocking","Anti-Physical",IF(G219="warding","Anti-Magical","Physical"))))</f>
        <v/>
      </c>
      <c r="O219">
        <f>IF(F219&lt;&gt;"armor","","TBD")</f>
        <v/>
      </c>
      <c r="P219">
        <f>IF(O219="","",IF(OR(G219="channeling",G219="infusing"),"Magical",IF(G219="blocking","Anti-Physical",IF(G219="warding","Anti-Magical","Physical"))))</f>
        <v/>
      </c>
    </row>
    <row r="220">
      <c r="J220">
        <f>IF(G220="","",IFERROR(IF(G220="infusing",IFERROR(LOOKUP(2,1/ISNUMBER(SEARCH(_lookup!$D$3:$D$4,H220)),_lookup!$E$3:$E$4),"INT"),VLOOKUP(G220,_lookup!$A$3:$B$14,2,FALSE)),""))</f>
        <v/>
      </c>
      <c r="K220">
        <f>IF(F220&lt;&gt;"weapon","",IF(G220="miscellaneous","1-4",IF(I220="","",IFERROR(VLOOKUP(I220&amp;"|"&amp;IF(LEFT(H220,2)="2H",2,1)&amp;"|"&amp;IF(G220="slashing",1,0),_lookup!$G$3:$H$18,2,FALSE),""))))</f>
        <v/>
      </c>
      <c r="L220">
        <f>IF(K220="","",IF(OR(G220="channeling",G220="infusing"),"Magical",IF(G220="blocking","Anti-Physical",IF(G220="warding","Anti-Magical","Physical"))))</f>
        <v/>
      </c>
      <c r="O220">
        <f>IF(F220&lt;&gt;"armor","","TBD")</f>
        <v/>
      </c>
      <c r="P220">
        <f>IF(O220="","",IF(OR(G220="channeling",G220="infusing"),"Magical",IF(G220="blocking","Anti-Physical",IF(G220="warding","Anti-Magical","Physical"))))</f>
        <v/>
      </c>
    </row>
    <row r="221">
      <c r="J221">
        <f>IF(G221="","",IFERROR(IF(G221="infusing",IFERROR(LOOKUP(2,1/ISNUMBER(SEARCH(_lookup!$D$3:$D$4,H221)),_lookup!$E$3:$E$4),"INT"),VLOOKUP(G221,_lookup!$A$3:$B$14,2,FALSE)),""))</f>
        <v/>
      </c>
      <c r="K221">
        <f>IF(F221&lt;&gt;"weapon","",IF(G221="miscellaneous","1-4",IF(I221="","",IFERROR(VLOOKUP(I221&amp;"|"&amp;IF(LEFT(H221,2)="2H",2,1)&amp;"|"&amp;IF(G221="slashing",1,0),_lookup!$G$3:$H$18,2,FALSE),""))))</f>
        <v/>
      </c>
      <c r="L221">
        <f>IF(K221="","",IF(OR(G221="channeling",G221="infusing"),"Magical",IF(G221="blocking","Anti-Physical",IF(G221="warding","Anti-Magical","Physical"))))</f>
        <v/>
      </c>
      <c r="O221">
        <f>IF(F221&lt;&gt;"armor","","TBD")</f>
        <v/>
      </c>
      <c r="P221">
        <f>IF(O221="","",IF(OR(G221="channeling",G221="infusing"),"Magical",IF(G221="blocking","Anti-Physical",IF(G221="warding","Anti-Magical","Physical"))))</f>
        <v/>
      </c>
    </row>
    <row r="222">
      <c r="J222">
        <f>IF(G222="","",IFERROR(IF(G222="infusing",IFERROR(LOOKUP(2,1/ISNUMBER(SEARCH(_lookup!$D$3:$D$4,H222)),_lookup!$E$3:$E$4),"INT"),VLOOKUP(G222,_lookup!$A$3:$B$14,2,FALSE)),""))</f>
        <v/>
      </c>
      <c r="K222">
        <f>IF(F222&lt;&gt;"weapon","",IF(G222="miscellaneous","1-4",IF(I222="","",IFERROR(VLOOKUP(I222&amp;"|"&amp;IF(LEFT(H222,2)="2H",2,1)&amp;"|"&amp;IF(G222="slashing",1,0),_lookup!$G$3:$H$18,2,FALSE),""))))</f>
        <v/>
      </c>
      <c r="L222">
        <f>IF(K222="","",IF(OR(G222="channeling",G222="infusing"),"Magical",IF(G222="blocking","Anti-Physical",IF(G222="warding","Anti-Magical","Physical"))))</f>
        <v/>
      </c>
      <c r="O222">
        <f>IF(F222&lt;&gt;"armor","","TBD")</f>
        <v/>
      </c>
      <c r="P222">
        <f>IF(O222="","",IF(OR(G222="channeling",G222="infusing"),"Magical",IF(G222="blocking","Anti-Physical",IF(G222="warding","Anti-Magical","Physical"))))</f>
        <v/>
      </c>
    </row>
    <row r="223">
      <c r="J223">
        <f>IF(G223="","",IFERROR(IF(G223="infusing",IFERROR(LOOKUP(2,1/ISNUMBER(SEARCH(_lookup!$D$3:$D$4,H223)),_lookup!$E$3:$E$4),"INT"),VLOOKUP(G223,_lookup!$A$3:$B$14,2,FALSE)),""))</f>
        <v/>
      </c>
      <c r="K223">
        <f>IF(F223&lt;&gt;"weapon","",IF(G223="miscellaneous","1-4",IF(I223="","",IFERROR(VLOOKUP(I223&amp;"|"&amp;IF(LEFT(H223,2)="2H",2,1)&amp;"|"&amp;IF(G223="slashing",1,0),_lookup!$G$3:$H$18,2,FALSE),""))))</f>
        <v/>
      </c>
      <c r="L223">
        <f>IF(K223="","",IF(OR(G223="channeling",G223="infusing"),"Magical",IF(G223="blocking","Anti-Physical",IF(G223="warding","Anti-Magical","Physical"))))</f>
        <v/>
      </c>
      <c r="O223">
        <f>IF(F223&lt;&gt;"armor","","TBD")</f>
        <v/>
      </c>
      <c r="P223">
        <f>IF(O223="","",IF(OR(G223="channeling",G223="infusing"),"Magical",IF(G223="blocking","Anti-Physical",IF(G223="warding","Anti-Magical","Physical"))))</f>
        <v/>
      </c>
    </row>
    <row r="224">
      <c r="J224">
        <f>IF(G224="","",IFERROR(IF(G224="infusing",IFERROR(LOOKUP(2,1/ISNUMBER(SEARCH(_lookup!$D$3:$D$4,H224)),_lookup!$E$3:$E$4),"INT"),VLOOKUP(G224,_lookup!$A$3:$B$14,2,FALSE)),""))</f>
        <v/>
      </c>
      <c r="K224">
        <f>IF(F224&lt;&gt;"weapon","",IF(G224="miscellaneous","1-4",IF(I224="","",IFERROR(VLOOKUP(I224&amp;"|"&amp;IF(LEFT(H224,2)="2H",2,1)&amp;"|"&amp;IF(G224="slashing",1,0),_lookup!$G$3:$H$18,2,FALSE),""))))</f>
        <v/>
      </c>
      <c r="L224">
        <f>IF(K224="","",IF(OR(G224="channeling",G224="infusing"),"Magical",IF(G224="blocking","Anti-Physical",IF(G224="warding","Anti-Magical","Physical"))))</f>
        <v/>
      </c>
      <c r="O224">
        <f>IF(F224&lt;&gt;"armor","","TBD")</f>
        <v/>
      </c>
      <c r="P224">
        <f>IF(O224="","",IF(OR(G224="channeling",G224="infusing"),"Magical",IF(G224="blocking","Anti-Physical",IF(G224="warding","Anti-Magical","Physical"))))</f>
        <v/>
      </c>
    </row>
    <row r="225">
      <c r="J225">
        <f>IF(G225="","",IFERROR(IF(G225="infusing",IFERROR(LOOKUP(2,1/ISNUMBER(SEARCH(_lookup!$D$3:$D$4,H225)),_lookup!$E$3:$E$4),"INT"),VLOOKUP(G225,_lookup!$A$3:$B$14,2,FALSE)),""))</f>
        <v/>
      </c>
      <c r="K225">
        <f>IF(F225&lt;&gt;"weapon","",IF(G225="miscellaneous","1-4",IF(I225="","",IFERROR(VLOOKUP(I225&amp;"|"&amp;IF(LEFT(H225,2)="2H",2,1)&amp;"|"&amp;IF(G225="slashing",1,0),_lookup!$G$3:$H$18,2,FALSE),""))))</f>
        <v/>
      </c>
      <c r="L225">
        <f>IF(K225="","",IF(OR(G225="channeling",G225="infusing"),"Magical",IF(G225="blocking","Anti-Physical",IF(G225="warding","Anti-Magical","Physical"))))</f>
        <v/>
      </c>
      <c r="O225">
        <f>IF(F225&lt;&gt;"armor","","TBD")</f>
        <v/>
      </c>
      <c r="P225">
        <f>IF(O225="","",IF(OR(G225="channeling",G225="infusing"),"Magical",IF(G225="blocking","Anti-Physical",IF(G225="warding","Anti-Magical","Physical"))))</f>
        <v/>
      </c>
    </row>
    <row r="226">
      <c r="J226">
        <f>IF(G226="","",IFERROR(IF(G226="infusing",IFERROR(LOOKUP(2,1/ISNUMBER(SEARCH(_lookup!$D$3:$D$4,H226)),_lookup!$E$3:$E$4),"INT"),VLOOKUP(G226,_lookup!$A$3:$B$14,2,FALSE)),""))</f>
        <v/>
      </c>
      <c r="K226">
        <f>IF(F226&lt;&gt;"weapon","",IF(G226="miscellaneous","1-4",IF(I226="","",IFERROR(VLOOKUP(I226&amp;"|"&amp;IF(LEFT(H226,2)="2H",2,1)&amp;"|"&amp;IF(G226="slashing",1,0),_lookup!$G$3:$H$18,2,FALSE),""))))</f>
        <v/>
      </c>
      <c r="L226">
        <f>IF(K226="","",IF(OR(G226="channeling",G226="infusing"),"Magical",IF(G226="blocking","Anti-Physical",IF(G226="warding","Anti-Magical","Physical"))))</f>
        <v/>
      </c>
      <c r="O226">
        <f>IF(F226&lt;&gt;"armor","","TBD")</f>
        <v/>
      </c>
      <c r="P226">
        <f>IF(O226="","",IF(OR(G226="channeling",G226="infusing"),"Magical",IF(G226="blocking","Anti-Physical",IF(G226="warding","Anti-Magical","Physical"))))</f>
        <v/>
      </c>
    </row>
    <row r="227">
      <c r="J227">
        <f>IF(G227="","",IFERROR(IF(G227="infusing",IFERROR(LOOKUP(2,1/ISNUMBER(SEARCH(_lookup!$D$3:$D$4,H227)),_lookup!$E$3:$E$4),"INT"),VLOOKUP(G227,_lookup!$A$3:$B$14,2,FALSE)),""))</f>
        <v/>
      </c>
      <c r="K227">
        <f>IF(F227&lt;&gt;"weapon","",IF(G227="miscellaneous","1-4",IF(I227="","",IFERROR(VLOOKUP(I227&amp;"|"&amp;IF(LEFT(H227,2)="2H",2,1)&amp;"|"&amp;IF(G227="slashing",1,0),_lookup!$G$3:$H$18,2,FALSE),""))))</f>
        <v/>
      </c>
      <c r="L227">
        <f>IF(K227="","",IF(OR(G227="channeling",G227="infusing"),"Magical",IF(G227="blocking","Anti-Physical",IF(G227="warding","Anti-Magical","Physical"))))</f>
        <v/>
      </c>
      <c r="O227">
        <f>IF(F227&lt;&gt;"armor","","TBD")</f>
        <v/>
      </c>
      <c r="P227">
        <f>IF(O227="","",IF(OR(G227="channeling",G227="infusing"),"Magical",IF(G227="blocking","Anti-Physical",IF(G227="warding","Anti-Magical","Physical"))))</f>
        <v/>
      </c>
    </row>
    <row r="228">
      <c r="J228">
        <f>IF(G228="","",IFERROR(IF(G228="infusing",IFERROR(LOOKUP(2,1/ISNUMBER(SEARCH(_lookup!$D$3:$D$4,H228)),_lookup!$E$3:$E$4),"INT"),VLOOKUP(G228,_lookup!$A$3:$B$14,2,FALSE)),""))</f>
        <v/>
      </c>
      <c r="K228">
        <f>IF(F228&lt;&gt;"weapon","",IF(G228="miscellaneous","1-4",IF(I228="","",IFERROR(VLOOKUP(I228&amp;"|"&amp;IF(LEFT(H228,2)="2H",2,1)&amp;"|"&amp;IF(G228="slashing",1,0),_lookup!$G$3:$H$18,2,FALSE),""))))</f>
        <v/>
      </c>
      <c r="L228">
        <f>IF(K228="","",IF(OR(G228="channeling",G228="infusing"),"Magical",IF(G228="blocking","Anti-Physical",IF(G228="warding","Anti-Magical","Physical"))))</f>
        <v/>
      </c>
      <c r="O228">
        <f>IF(F228&lt;&gt;"armor","","TBD")</f>
        <v/>
      </c>
      <c r="P228">
        <f>IF(O228="","",IF(OR(G228="channeling",G228="infusing"),"Magical",IF(G228="blocking","Anti-Physical",IF(G228="warding","Anti-Magical","Physical"))))</f>
        <v/>
      </c>
    </row>
    <row r="229">
      <c r="J229">
        <f>IF(G229="","",IFERROR(IF(G229="infusing",IFERROR(LOOKUP(2,1/ISNUMBER(SEARCH(_lookup!$D$3:$D$4,H229)),_lookup!$E$3:$E$4),"INT"),VLOOKUP(G229,_lookup!$A$3:$B$14,2,FALSE)),""))</f>
        <v/>
      </c>
      <c r="K229">
        <f>IF(F229&lt;&gt;"weapon","",IF(G229="miscellaneous","1-4",IF(I229="","",IFERROR(VLOOKUP(I229&amp;"|"&amp;IF(LEFT(H229,2)="2H",2,1)&amp;"|"&amp;IF(G229="slashing",1,0),_lookup!$G$3:$H$18,2,FALSE),""))))</f>
        <v/>
      </c>
      <c r="L229">
        <f>IF(K229="","",IF(OR(G229="channeling",G229="infusing"),"Magical",IF(G229="blocking","Anti-Physical",IF(G229="warding","Anti-Magical","Physical"))))</f>
        <v/>
      </c>
      <c r="O229">
        <f>IF(F229&lt;&gt;"armor","","TBD")</f>
        <v/>
      </c>
      <c r="P229">
        <f>IF(O229="","",IF(OR(G229="channeling",G229="infusing"),"Magical",IF(G229="blocking","Anti-Physical",IF(G229="warding","Anti-Magical","Physical"))))</f>
        <v/>
      </c>
    </row>
    <row r="230">
      <c r="J230">
        <f>IF(G230="","",IFERROR(IF(G230="infusing",IFERROR(LOOKUP(2,1/ISNUMBER(SEARCH(_lookup!$D$3:$D$4,H230)),_lookup!$E$3:$E$4),"INT"),VLOOKUP(G230,_lookup!$A$3:$B$14,2,FALSE)),""))</f>
        <v/>
      </c>
      <c r="K230">
        <f>IF(F230&lt;&gt;"weapon","",IF(G230="miscellaneous","1-4",IF(I230="","",IFERROR(VLOOKUP(I230&amp;"|"&amp;IF(LEFT(H230,2)="2H",2,1)&amp;"|"&amp;IF(G230="slashing",1,0),_lookup!$G$3:$H$18,2,FALSE),""))))</f>
        <v/>
      </c>
      <c r="L230">
        <f>IF(K230="","",IF(OR(G230="channeling",G230="infusing"),"Magical",IF(G230="blocking","Anti-Physical",IF(G230="warding","Anti-Magical","Physical"))))</f>
        <v/>
      </c>
      <c r="O230">
        <f>IF(F230&lt;&gt;"armor","","TBD")</f>
        <v/>
      </c>
      <c r="P230">
        <f>IF(O230="","",IF(OR(G230="channeling",G230="infusing"),"Magical",IF(G230="blocking","Anti-Physical",IF(G230="warding","Anti-Magical","Physical"))))</f>
        <v/>
      </c>
    </row>
    <row r="231">
      <c r="J231">
        <f>IF(G231="","",IFERROR(IF(G231="infusing",IFERROR(LOOKUP(2,1/ISNUMBER(SEARCH(_lookup!$D$3:$D$4,H231)),_lookup!$E$3:$E$4),"INT"),VLOOKUP(G231,_lookup!$A$3:$B$14,2,FALSE)),""))</f>
        <v/>
      </c>
      <c r="K231">
        <f>IF(F231&lt;&gt;"weapon","",IF(G231="miscellaneous","1-4",IF(I231="","",IFERROR(VLOOKUP(I231&amp;"|"&amp;IF(LEFT(H231,2)="2H",2,1)&amp;"|"&amp;IF(G231="slashing",1,0),_lookup!$G$3:$H$18,2,FALSE),""))))</f>
        <v/>
      </c>
      <c r="L231">
        <f>IF(K231="","",IF(OR(G231="channeling",G231="infusing"),"Magical",IF(G231="blocking","Anti-Physical",IF(G231="warding","Anti-Magical","Physical"))))</f>
        <v/>
      </c>
      <c r="O231">
        <f>IF(F231&lt;&gt;"armor","","TBD")</f>
        <v/>
      </c>
      <c r="P231">
        <f>IF(O231="","",IF(OR(G231="channeling",G231="infusing"),"Magical",IF(G231="blocking","Anti-Physical",IF(G231="warding","Anti-Magical","Physical"))))</f>
        <v/>
      </c>
    </row>
    <row r="232">
      <c r="J232">
        <f>IF(G232="","",IFERROR(IF(G232="infusing",IFERROR(LOOKUP(2,1/ISNUMBER(SEARCH(_lookup!$D$3:$D$4,H232)),_lookup!$E$3:$E$4),"INT"),VLOOKUP(G232,_lookup!$A$3:$B$14,2,FALSE)),""))</f>
        <v/>
      </c>
      <c r="K232">
        <f>IF(F232&lt;&gt;"weapon","",IF(G232="miscellaneous","1-4",IF(I232="","",IFERROR(VLOOKUP(I232&amp;"|"&amp;IF(LEFT(H232,2)="2H",2,1)&amp;"|"&amp;IF(G232="slashing",1,0),_lookup!$G$3:$H$18,2,FALSE),""))))</f>
        <v/>
      </c>
      <c r="L232">
        <f>IF(K232="","",IF(OR(G232="channeling",G232="infusing"),"Magical",IF(G232="blocking","Anti-Physical",IF(G232="warding","Anti-Magical","Physical"))))</f>
        <v/>
      </c>
      <c r="O232">
        <f>IF(F232&lt;&gt;"armor","","TBD")</f>
        <v/>
      </c>
      <c r="P232">
        <f>IF(O232="","",IF(OR(G232="channeling",G232="infusing"),"Magical",IF(G232="blocking","Anti-Physical",IF(G232="warding","Anti-Magical","Physical"))))</f>
        <v/>
      </c>
    </row>
    <row r="233">
      <c r="J233">
        <f>IF(G233="","",IFERROR(IF(G233="infusing",IFERROR(LOOKUP(2,1/ISNUMBER(SEARCH(_lookup!$D$3:$D$4,H233)),_lookup!$E$3:$E$4),"INT"),VLOOKUP(G233,_lookup!$A$3:$B$14,2,FALSE)),""))</f>
        <v/>
      </c>
      <c r="K233">
        <f>IF(F233&lt;&gt;"weapon","",IF(G233="miscellaneous","1-4",IF(I233="","",IFERROR(VLOOKUP(I233&amp;"|"&amp;IF(LEFT(H233,2)="2H",2,1)&amp;"|"&amp;IF(G233="slashing",1,0),_lookup!$G$3:$H$18,2,FALSE),""))))</f>
        <v/>
      </c>
      <c r="L233">
        <f>IF(K233="","",IF(OR(G233="channeling",G233="infusing"),"Magical",IF(G233="blocking","Anti-Physical",IF(G233="warding","Anti-Magical","Physical"))))</f>
        <v/>
      </c>
      <c r="O233">
        <f>IF(F233&lt;&gt;"armor","","TBD")</f>
        <v/>
      </c>
      <c r="P233">
        <f>IF(O233="","",IF(OR(G233="channeling",G233="infusing"),"Magical",IF(G233="blocking","Anti-Physical",IF(G233="warding","Anti-Magical","Physical"))))</f>
        <v/>
      </c>
    </row>
    <row r="234">
      <c r="J234">
        <f>IF(G234="","",IFERROR(IF(G234="infusing",IFERROR(LOOKUP(2,1/ISNUMBER(SEARCH(_lookup!$D$3:$D$4,H234)),_lookup!$E$3:$E$4),"INT"),VLOOKUP(G234,_lookup!$A$3:$B$14,2,FALSE)),""))</f>
        <v/>
      </c>
      <c r="K234">
        <f>IF(F234&lt;&gt;"weapon","",IF(G234="miscellaneous","1-4",IF(I234="","",IFERROR(VLOOKUP(I234&amp;"|"&amp;IF(LEFT(H234,2)="2H",2,1)&amp;"|"&amp;IF(G234="slashing",1,0),_lookup!$G$3:$H$18,2,FALSE),""))))</f>
        <v/>
      </c>
      <c r="L234">
        <f>IF(K234="","",IF(OR(G234="channeling",G234="infusing"),"Magical",IF(G234="blocking","Anti-Physical",IF(G234="warding","Anti-Magical","Physical"))))</f>
        <v/>
      </c>
      <c r="O234">
        <f>IF(F234&lt;&gt;"armor","","TBD")</f>
        <v/>
      </c>
      <c r="P234">
        <f>IF(O234="","",IF(OR(G234="channeling",G234="infusing"),"Magical",IF(G234="blocking","Anti-Physical",IF(G234="warding","Anti-Magical","Physical"))))</f>
        <v/>
      </c>
    </row>
    <row r="235">
      <c r="J235">
        <f>IF(G235="","",IFERROR(IF(G235="infusing",IFERROR(LOOKUP(2,1/ISNUMBER(SEARCH(_lookup!$D$3:$D$4,H235)),_lookup!$E$3:$E$4),"INT"),VLOOKUP(G235,_lookup!$A$3:$B$14,2,FALSE)),""))</f>
        <v/>
      </c>
      <c r="K235">
        <f>IF(F235&lt;&gt;"weapon","",IF(G235="miscellaneous","1-4",IF(I235="","",IFERROR(VLOOKUP(I235&amp;"|"&amp;IF(LEFT(H235,2)="2H",2,1)&amp;"|"&amp;IF(G235="slashing",1,0),_lookup!$G$3:$H$18,2,FALSE),""))))</f>
        <v/>
      </c>
      <c r="L235">
        <f>IF(K235="","",IF(OR(G235="channeling",G235="infusing"),"Magical",IF(G235="blocking","Anti-Physical",IF(G235="warding","Anti-Magical","Physical"))))</f>
        <v/>
      </c>
      <c r="O235">
        <f>IF(F235&lt;&gt;"armor","","TBD")</f>
        <v/>
      </c>
      <c r="P235">
        <f>IF(O235="","",IF(OR(G235="channeling",G235="infusing"),"Magical",IF(G235="blocking","Anti-Physical",IF(G235="warding","Anti-Magical","Physical"))))</f>
        <v/>
      </c>
    </row>
    <row r="236">
      <c r="J236">
        <f>IF(G236="","",IFERROR(IF(G236="infusing",IFERROR(LOOKUP(2,1/ISNUMBER(SEARCH(_lookup!$D$3:$D$4,H236)),_lookup!$E$3:$E$4),"INT"),VLOOKUP(G236,_lookup!$A$3:$B$14,2,FALSE)),""))</f>
        <v/>
      </c>
      <c r="K236">
        <f>IF(F236&lt;&gt;"weapon","",IF(G236="miscellaneous","1-4",IF(I236="","",IFERROR(VLOOKUP(I236&amp;"|"&amp;IF(LEFT(H236,2)="2H",2,1)&amp;"|"&amp;IF(G236="slashing",1,0),_lookup!$G$3:$H$18,2,FALSE),""))))</f>
        <v/>
      </c>
      <c r="L236">
        <f>IF(K236="","",IF(OR(G236="channeling",G236="infusing"),"Magical",IF(G236="blocking","Anti-Physical",IF(G236="warding","Anti-Magical","Physical"))))</f>
        <v/>
      </c>
      <c r="O236">
        <f>IF(F236&lt;&gt;"armor","","TBD")</f>
        <v/>
      </c>
      <c r="P236">
        <f>IF(O236="","",IF(OR(G236="channeling",G236="infusing"),"Magical",IF(G236="blocking","Anti-Physical",IF(G236="warding","Anti-Magical","Physical"))))</f>
        <v/>
      </c>
    </row>
    <row r="237">
      <c r="J237">
        <f>IF(G237="","",IFERROR(IF(G237="infusing",IFERROR(LOOKUP(2,1/ISNUMBER(SEARCH(_lookup!$D$3:$D$4,H237)),_lookup!$E$3:$E$4),"INT"),VLOOKUP(G237,_lookup!$A$3:$B$14,2,FALSE)),""))</f>
        <v/>
      </c>
      <c r="K237">
        <f>IF(F237&lt;&gt;"weapon","",IF(G237="miscellaneous","1-4",IF(I237="","",IFERROR(VLOOKUP(I237&amp;"|"&amp;IF(LEFT(H237,2)="2H",2,1)&amp;"|"&amp;IF(G237="slashing",1,0),_lookup!$G$3:$H$18,2,FALSE),""))))</f>
        <v/>
      </c>
      <c r="L237">
        <f>IF(K237="","",IF(OR(G237="channeling",G237="infusing"),"Magical",IF(G237="blocking","Anti-Physical",IF(G237="warding","Anti-Magical","Physical"))))</f>
        <v/>
      </c>
      <c r="O237">
        <f>IF(F237&lt;&gt;"armor","","TBD")</f>
        <v/>
      </c>
      <c r="P237">
        <f>IF(O237="","",IF(OR(G237="channeling",G237="infusing"),"Magical",IF(G237="blocking","Anti-Physical",IF(G237="warding","Anti-Magical","Physical"))))</f>
        <v/>
      </c>
    </row>
    <row r="238">
      <c r="J238">
        <f>IF(G238="","",IFERROR(IF(G238="infusing",IFERROR(LOOKUP(2,1/ISNUMBER(SEARCH(_lookup!$D$3:$D$4,H238)),_lookup!$E$3:$E$4),"INT"),VLOOKUP(G238,_lookup!$A$3:$B$14,2,FALSE)),""))</f>
        <v/>
      </c>
      <c r="K238">
        <f>IF(F238&lt;&gt;"weapon","",IF(G238="miscellaneous","1-4",IF(I238="","",IFERROR(VLOOKUP(I238&amp;"|"&amp;IF(LEFT(H238,2)="2H",2,1)&amp;"|"&amp;IF(G238="slashing",1,0),_lookup!$G$3:$H$18,2,FALSE),""))))</f>
        <v/>
      </c>
      <c r="L238">
        <f>IF(K238="","",IF(OR(G238="channeling",G238="infusing"),"Magical",IF(G238="blocking","Anti-Physical",IF(G238="warding","Anti-Magical","Physical"))))</f>
        <v/>
      </c>
      <c r="O238">
        <f>IF(F238&lt;&gt;"armor","","TBD")</f>
        <v/>
      </c>
      <c r="P238">
        <f>IF(O238="","",IF(OR(G238="channeling",G238="infusing"),"Magical",IF(G238="blocking","Anti-Physical",IF(G238="warding","Anti-Magical","Physical"))))</f>
        <v/>
      </c>
    </row>
    <row r="239">
      <c r="J239">
        <f>IF(G239="","",IFERROR(IF(G239="infusing",IFERROR(LOOKUP(2,1/ISNUMBER(SEARCH(_lookup!$D$3:$D$4,H239)),_lookup!$E$3:$E$4),"INT"),VLOOKUP(G239,_lookup!$A$3:$B$14,2,FALSE)),""))</f>
        <v/>
      </c>
      <c r="K239">
        <f>IF(F239&lt;&gt;"weapon","",IF(G239="miscellaneous","1-4",IF(I239="","",IFERROR(VLOOKUP(I239&amp;"|"&amp;IF(LEFT(H239,2)="2H",2,1)&amp;"|"&amp;IF(G239="slashing",1,0),_lookup!$G$3:$H$18,2,FALSE),""))))</f>
        <v/>
      </c>
      <c r="L239">
        <f>IF(K239="","",IF(OR(G239="channeling",G239="infusing"),"Magical",IF(G239="blocking","Anti-Physical",IF(G239="warding","Anti-Magical","Physical"))))</f>
        <v/>
      </c>
      <c r="O239">
        <f>IF(F239&lt;&gt;"armor","","TBD")</f>
        <v/>
      </c>
      <c r="P239">
        <f>IF(O239="","",IF(OR(G239="channeling",G239="infusing"),"Magical",IF(G239="blocking","Anti-Physical",IF(G239="warding","Anti-Magical","Physical"))))</f>
        <v/>
      </c>
    </row>
    <row r="240">
      <c r="J240">
        <f>IF(G240="","",IFERROR(IF(G240="infusing",IFERROR(LOOKUP(2,1/ISNUMBER(SEARCH(_lookup!$D$3:$D$4,H240)),_lookup!$E$3:$E$4),"INT"),VLOOKUP(G240,_lookup!$A$3:$B$14,2,FALSE)),""))</f>
        <v/>
      </c>
      <c r="K240">
        <f>IF(F240&lt;&gt;"weapon","",IF(G240="miscellaneous","1-4",IF(I240="","",IFERROR(VLOOKUP(I240&amp;"|"&amp;IF(LEFT(H240,2)="2H",2,1)&amp;"|"&amp;IF(G240="slashing",1,0),_lookup!$G$3:$H$18,2,FALSE),""))))</f>
        <v/>
      </c>
      <c r="L240">
        <f>IF(K240="","",IF(OR(G240="channeling",G240="infusing"),"Magical",IF(G240="blocking","Anti-Physical",IF(G240="warding","Anti-Magical","Physical"))))</f>
        <v/>
      </c>
      <c r="O240">
        <f>IF(F240&lt;&gt;"armor","","TBD")</f>
        <v/>
      </c>
      <c r="P240">
        <f>IF(O240="","",IF(OR(G240="channeling",G240="infusing"),"Magical",IF(G240="blocking","Anti-Physical",IF(G240="warding","Anti-Magical","Physical"))))</f>
        <v/>
      </c>
    </row>
    <row r="241">
      <c r="J241">
        <f>IF(G241="","",IFERROR(IF(G241="infusing",IFERROR(LOOKUP(2,1/ISNUMBER(SEARCH(_lookup!$D$3:$D$4,H241)),_lookup!$E$3:$E$4),"INT"),VLOOKUP(G241,_lookup!$A$3:$B$14,2,FALSE)),""))</f>
        <v/>
      </c>
      <c r="K241">
        <f>IF(F241&lt;&gt;"weapon","",IF(G241="miscellaneous","1-4",IF(I241="","",IFERROR(VLOOKUP(I241&amp;"|"&amp;IF(LEFT(H241,2)="2H",2,1)&amp;"|"&amp;IF(G241="slashing",1,0),_lookup!$G$3:$H$18,2,FALSE),""))))</f>
        <v/>
      </c>
      <c r="L241">
        <f>IF(K241="","",IF(OR(G241="channeling",G241="infusing"),"Magical",IF(G241="blocking","Anti-Physical",IF(G241="warding","Anti-Magical","Physical"))))</f>
        <v/>
      </c>
      <c r="O241">
        <f>IF(F241&lt;&gt;"armor","","TBD")</f>
        <v/>
      </c>
      <c r="P241">
        <f>IF(O241="","",IF(OR(G241="channeling",G241="infusing"),"Magical",IF(G241="blocking","Anti-Physical",IF(G241="warding","Anti-Magical","Physical"))))</f>
        <v/>
      </c>
    </row>
    <row r="242">
      <c r="J242">
        <f>IF(G242="","",IFERROR(IF(G242="infusing",IFERROR(LOOKUP(2,1/ISNUMBER(SEARCH(_lookup!$D$3:$D$4,H242)),_lookup!$E$3:$E$4),"INT"),VLOOKUP(G242,_lookup!$A$3:$B$14,2,FALSE)),""))</f>
        <v/>
      </c>
      <c r="K242">
        <f>IF(F242&lt;&gt;"weapon","",IF(G242="miscellaneous","1-4",IF(I242="","",IFERROR(VLOOKUP(I242&amp;"|"&amp;IF(LEFT(H242,2)="2H",2,1)&amp;"|"&amp;IF(G242="slashing",1,0),_lookup!$G$3:$H$18,2,FALSE),""))))</f>
        <v/>
      </c>
      <c r="L242">
        <f>IF(K242="","",IF(OR(G242="channeling",G242="infusing"),"Magical",IF(G242="blocking","Anti-Physical",IF(G242="warding","Anti-Magical","Physical"))))</f>
        <v/>
      </c>
      <c r="O242">
        <f>IF(F242&lt;&gt;"armor","","TBD")</f>
        <v/>
      </c>
      <c r="P242">
        <f>IF(O242="","",IF(OR(G242="channeling",G242="infusing"),"Magical",IF(G242="blocking","Anti-Physical",IF(G242="warding","Anti-Magical","Physical"))))</f>
        <v/>
      </c>
    </row>
    <row r="243">
      <c r="J243">
        <f>IF(G243="","",IFERROR(IF(G243="infusing",IFERROR(LOOKUP(2,1/ISNUMBER(SEARCH(_lookup!$D$3:$D$4,H243)),_lookup!$E$3:$E$4),"INT"),VLOOKUP(G243,_lookup!$A$3:$B$14,2,FALSE)),""))</f>
        <v/>
      </c>
      <c r="K243">
        <f>IF(F243&lt;&gt;"weapon","",IF(G243="miscellaneous","1-4",IF(I243="","",IFERROR(VLOOKUP(I243&amp;"|"&amp;IF(LEFT(H243,2)="2H",2,1)&amp;"|"&amp;IF(G243="slashing",1,0),_lookup!$G$3:$H$18,2,FALSE),""))))</f>
        <v/>
      </c>
      <c r="L243">
        <f>IF(K243="","",IF(OR(G243="channeling",G243="infusing"),"Magical",IF(G243="blocking","Anti-Physical",IF(G243="warding","Anti-Magical","Physical"))))</f>
        <v/>
      </c>
      <c r="O243">
        <f>IF(F243&lt;&gt;"armor","","TBD")</f>
        <v/>
      </c>
      <c r="P243">
        <f>IF(O243="","",IF(OR(G243="channeling",G243="infusing"),"Magical",IF(G243="blocking","Anti-Physical",IF(G243="warding","Anti-Magical","Physical"))))</f>
        <v/>
      </c>
    </row>
    <row r="244">
      <c r="J244">
        <f>IF(G244="","",IFERROR(IF(G244="infusing",IFERROR(LOOKUP(2,1/ISNUMBER(SEARCH(_lookup!$D$3:$D$4,H244)),_lookup!$E$3:$E$4),"INT"),VLOOKUP(G244,_lookup!$A$3:$B$14,2,FALSE)),""))</f>
        <v/>
      </c>
      <c r="K244">
        <f>IF(F244&lt;&gt;"weapon","",IF(G244="miscellaneous","1-4",IF(I244="","",IFERROR(VLOOKUP(I244&amp;"|"&amp;IF(LEFT(H244,2)="2H",2,1)&amp;"|"&amp;IF(G244="slashing",1,0),_lookup!$G$3:$H$18,2,FALSE),""))))</f>
        <v/>
      </c>
      <c r="L244">
        <f>IF(K244="","",IF(OR(G244="channeling",G244="infusing"),"Magical",IF(G244="blocking","Anti-Physical",IF(G244="warding","Anti-Magical","Physical"))))</f>
        <v/>
      </c>
      <c r="O244">
        <f>IF(F244&lt;&gt;"armor","","TBD")</f>
        <v/>
      </c>
      <c r="P244">
        <f>IF(O244="","",IF(OR(G244="channeling",G244="infusing"),"Magical",IF(G244="blocking","Anti-Physical",IF(G244="warding","Anti-Magical","Physical"))))</f>
        <v/>
      </c>
    </row>
    <row r="245">
      <c r="J245">
        <f>IF(G245="","",IFERROR(IF(G245="infusing",IFERROR(LOOKUP(2,1/ISNUMBER(SEARCH(_lookup!$D$3:$D$4,H245)),_lookup!$E$3:$E$4),"INT"),VLOOKUP(G245,_lookup!$A$3:$B$14,2,FALSE)),""))</f>
        <v/>
      </c>
      <c r="K245">
        <f>IF(F245&lt;&gt;"weapon","",IF(G245="miscellaneous","1-4",IF(I245="","",IFERROR(VLOOKUP(I245&amp;"|"&amp;IF(LEFT(H245,2)="2H",2,1)&amp;"|"&amp;IF(G245="slashing",1,0),_lookup!$G$3:$H$18,2,FALSE),""))))</f>
        <v/>
      </c>
      <c r="L245">
        <f>IF(K245="","",IF(OR(G245="channeling",G245="infusing"),"Magical",IF(G245="blocking","Anti-Physical",IF(G245="warding","Anti-Magical","Physical"))))</f>
        <v/>
      </c>
      <c r="O245">
        <f>IF(F245&lt;&gt;"armor","","TBD")</f>
        <v/>
      </c>
      <c r="P245">
        <f>IF(O245="","",IF(OR(G245="channeling",G245="infusing"),"Magical",IF(G245="blocking","Anti-Physical",IF(G245="warding","Anti-Magical","Physical"))))</f>
        <v/>
      </c>
    </row>
    <row r="246">
      <c r="J246">
        <f>IF(G246="","",IFERROR(IF(G246="infusing",IFERROR(LOOKUP(2,1/ISNUMBER(SEARCH(_lookup!$D$3:$D$4,H246)),_lookup!$E$3:$E$4),"INT"),VLOOKUP(G246,_lookup!$A$3:$B$14,2,FALSE)),""))</f>
        <v/>
      </c>
      <c r="K246">
        <f>IF(F246&lt;&gt;"weapon","",IF(G246="miscellaneous","1-4",IF(I246="","",IFERROR(VLOOKUP(I246&amp;"|"&amp;IF(LEFT(H246,2)="2H",2,1)&amp;"|"&amp;IF(G246="slashing",1,0),_lookup!$G$3:$H$18,2,FALSE),""))))</f>
        <v/>
      </c>
      <c r="L246">
        <f>IF(K246="","",IF(OR(G246="channeling",G246="infusing"),"Magical",IF(G246="blocking","Anti-Physical",IF(G246="warding","Anti-Magical","Physical"))))</f>
        <v/>
      </c>
      <c r="O246">
        <f>IF(F246&lt;&gt;"armor","","TBD")</f>
        <v/>
      </c>
      <c r="P246">
        <f>IF(O246="","",IF(OR(G246="channeling",G246="infusing"),"Magical",IF(G246="blocking","Anti-Physical",IF(G246="warding","Anti-Magical","Physical"))))</f>
        <v/>
      </c>
    </row>
    <row r="247">
      <c r="J247">
        <f>IF(G247="","",IFERROR(IF(G247="infusing",IFERROR(LOOKUP(2,1/ISNUMBER(SEARCH(_lookup!$D$3:$D$4,H247)),_lookup!$E$3:$E$4),"INT"),VLOOKUP(G247,_lookup!$A$3:$B$14,2,FALSE)),""))</f>
        <v/>
      </c>
      <c r="K247">
        <f>IF(F247&lt;&gt;"weapon","",IF(G247="miscellaneous","1-4",IF(I247="","",IFERROR(VLOOKUP(I247&amp;"|"&amp;IF(LEFT(H247,2)="2H",2,1)&amp;"|"&amp;IF(G247="slashing",1,0),_lookup!$G$3:$H$18,2,FALSE),""))))</f>
        <v/>
      </c>
      <c r="L247">
        <f>IF(K247="","",IF(OR(G247="channeling",G247="infusing"),"Magical",IF(G247="blocking","Anti-Physical",IF(G247="warding","Anti-Magical","Physical"))))</f>
        <v/>
      </c>
      <c r="O247">
        <f>IF(F247&lt;&gt;"armor","","TBD")</f>
        <v/>
      </c>
      <c r="P247">
        <f>IF(O247="","",IF(OR(G247="channeling",G247="infusing"),"Magical",IF(G247="blocking","Anti-Physical",IF(G247="warding","Anti-Magical","Physical"))))</f>
        <v/>
      </c>
    </row>
    <row r="248">
      <c r="J248">
        <f>IF(G248="","",IFERROR(IF(G248="infusing",IFERROR(LOOKUP(2,1/ISNUMBER(SEARCH(_lookup!$D$3:$D$4,H248)),_lookup!$E$3:$E$4),"INT"),VLOOKUP(G248,_lookup!$A$3:$B$14,2,FALSE)),""))</f>
        <v/>
      </c>
      <c r="K248">
        <f>IF(F248&lt;&gt;"weapon","",IF(G248="miscellaneous","1-4",IF(I248="","",IFERROR(VLOOKUP(I248&amp;"|"&amp;IF(LEFT(H248,2)="2H",2,1)&amp;"|"&amp;IF(G248="slashing",1,0),_lookup!$G$3:$H$18,2,FALSE),""))))</f>
        <v/>
      </c>
      <c r="L248">
        <f>IF(K248="","",IF(OR(G248="channeling",G248="infusing"),"Magical",IF(G248="blocking","Anti-Physical",IF(G248="warding","Anti-Magical","Physical"))))</f>
        <v/>
      </c>
      <c r="O248">
        <f>IF(F248&lt;&gt;"armor","","TBD")</f>
        <v/>
      </c>
      <c r="P248">
        <f>IF(O248="","",IF(OR(G248="channeling",G248="infusing"),"Magical",IF(G248="blocking","Anti-Physical",IF(G248="warding","Anti-Magical","Physical"))))</f>
        <v/>
      </c>
    </row>
    <row r="249">
      <c r="J249">
        <f>IF(G249="","",IFERROR(IF(G249="infusing",IFERROR(LOOKUP(2,1/ISNUMBER(SEARCH(_lookup!$D$3:$D$4,H249)),_lookup!$E$3:$E$4),"INT"),VLOOKUP(G249,_lookup!$A$3:$B$14,2,FALSE)),""))</f>
        <v/>
      </c>
      <c r="K249">
        <f>IF(F249&lt;&gt;"weapon","",IF(G249="miscellaneous","1-4",IF(I249="","",IFERROR(VLOOKUP(I249&amp;"|"&amp;IF(LEFT(H249,2)="2H",2,1)&amp;"|"&amp;IF(G249="slashing",1,0),_lookup!$G$3:$H$18,2,FALSE),""))))</f>
        <v/>
      </c>
      <c r="L249">
        <f>IF(K249="","",IF(OR(G249="channeling",G249="infusing"),"Magical",IF(G249="blocking","Anti-Physical",IF(G249="warding","Anti-Magical","Physical"))))</f>
        <v/>
      </c>
      <c r="O249">
        <f>IF(F249&lt;&gt;"armor","","TBD")</f>
        <v/>
      </c>
      <c r="P249">
        <f>IF(O249="","",IF(OR(G249="channeling",G249="infusing"),"Magical",IF(G249="blocking","Anti-Physical",IF(G249="warding","Anti-Magical","Physical"))))</f>
        <v/>
      </c>
    </row>
    <row r="250">
      <c r="J250">
        <f>IF(G250="","",IFERROR(IF(G250="infusing",IFERROR(LOOKUP(2,1/ISNUMBER(SEARCH(_lookup!$D$3:$D$4,H250)),_lookup!$E$3:$E$4),"INT"),VLOOKUP(G250,_lookup!$A$3:$B$14,2,FALSE)),""))</f>
        <v/>
      </c>
      <c r="K250">
        <f>IF(F250&lt;&gt;"weapon","",IF(G250="miscellaneous","1-4",IF(I250="","",IFERROR(VLOOKUP(I250&amp;"|"&amp;IF(LEFT(H250,2)="2H",2,1)&amp;"|"&amp;IF(G250="slashing",1,0),_lookup!$G$3:$H$18,2,FALSE),""))))</f>
        <v/>
      </c>
      <c r="L250">
        <f>IF(K250="","",IF(OR(G250="channeling",G250="infusing"),"Magical",IF(G250="blocking","Anti-Physical",IF(G250="warding","Anti-Magical","Physical"))))</f>
        <v/>
      </c>
      <c r="O250">
        <f>IF(F250&lt;&gt;"armor","","TBD")</f>
        <v/>
      </c>
      <c r="P250">
        <f>IF(O250="","",IF(OR(G250="channeling",G250="infusing"),"Magical",IF(G250="blocking","Anti-Physical",IF(G250="warding","Anti-Magical","Physical"))))</f>
        <v/>
      </c>
    </row>
    <row r="251">
      <c r="J251">
        <f>IF(G251="","",IFERROR(IF(G251="infusing",IFERROR(LOOKUP(2,1/ISNUMBER(SEARCH(_lookup!$D$3:$D$4,H251)),_lookup!$E$3:$E$4),"INT"),VLOOKUP(G251,_lookup!$A$3:$B$14,2,FALSE)),""))</f>
        <v/>
      </c>
      <c r="K251">
        <f>IF(F251&lt;&gt;"weapon","",IF(G251="miscellaneous","1-4",IF(I251="","",IFERROR(VLOOKUP(I251&amp;"|"&amp;IF(LEFT(H251,2)="2H",2,1)&amp;"|"&amp;IF(G251="slashing",1,0),_lookup!$G$3:$H$18,2,FALSE),""))))</f>
        <v/>
      </c>
      <c r="L251">
        <f>IF(K251="","",IF(OR(G251="channeling",G251="infusing"),"Magical",IF(G251="blocking","Anti-Physical",IF(G251="warding","Anti-Magical","Physical"))))</f>
        <v/>
      </c>
      <c r="O251">
        <f>IF(F251&lt;&gt;"armor","","TBD")</f>
        <v/>
      </c>
      <c r="P251">
        <f>IF(O251="","",IF(OR(G251="channeling",G251="infusing"),"Magical",IF(G251="blocking","Anti-Physical",IF(G251="warding","Anti-Magical","Physical"))))</f>
        <v/>
      </c>
    </row>
    <row r="252">
      <c r="J252">
        <f>IF(G252="","",IFERROR(IF(G252="infusing",IFERROR(LOOKUP(2,1/ISNUMBER(SEARCH(_lookup!$D$3:$D$4,H252)),_lookup!$E$3:$E$4),"INT"),VLOOKUP(G252,_lookup!$A$3:$B$14,2,FALSE)),""))</f>
        <v/>
      </c>
      <c r="K252">
        <f>IF(F252&lt;&gt;"weapon","",IF(G252="miscellaneous","1-4",IF(I252="","",IFERROR(VLOOKUP(I252&amp;"|"&amp;IF(LEFT(H252,2)="2H",2,1)&amp;"|"&amp;IF(G252="slashing",1,0),_lookup!$G$3:$H$18,2,FALSE),""))))</f>
        <v/>
      </c>
      <c r="L252">
        <f>IF(K252="","",IF(OR(G252="channeling",G252="infusing"),"Magical",IF(G252="blocking","Anti-Physical",IF(G252="warding","Anti-Magical","Physical"))))</f>
        <v/>
      </c>
      <c r="O252">
        <f>IF(F252&lt;&gt;"armor","","TBD")</f>
        <v/>
      </c>
      <c r="P252">
        <f>IF(O252="","",IF(OR(G252="channeling",G252="infusing"),"Magical",IF(G252="blocking","Anti-Physical",IF(G252="warding","Anti-Magical","Physical"))))</f>
        <v/>
      </c>
    </row>
    <row r="253">
      <c r="J253">
        <f>IF(G253="","",IFERROR(IF(G253="infusing",IFERROR(LOOKUP(2,1/ISNUMBER(SEARCH(_lookup!$D$3:$D$4,H253)),_lookup!$E$3:$E$4),"INT"),VLOOKUP(G253,_lookup!$A$3:$B$14,2,FALSE)),""))</f>
        <v/>
      </c>
      <c r="K253">
        <f>IF(F253&lt;&gt;"weapon","",IF(G253="miscellaneous","1-4",IF(I253="","",IFERROR(VLOOKUP(I253&amp;"|"&amp;IF(LEFT(H253,2)="2H",2,1)&amp;"|"&amp;IF(G253="slashing",1,0),_lookup!$G$3:$H$18,2,FALSE),""))))</f>
        <v/>
      </c>
      <c r="L253">
        <f>IF(K253="","",IF(OR(G253="channeling",G253="infusing"),"Magical",IF(G253="blocking","Anti-Physical",IF(G253="warding","Anti-Magical","Physical"))))</f>
        <v/>
      </c>
      <c r="O253">
        <f>IF(F253&lt;&gt;"armor","","TBD")</f>
        <v/>
      </c>
      <c r="P253">
        <f>IF(O253="","",IF(OR(G253="channeling",G253="infusing"),"Magical",IF(G253="blocking","Anti-Physical",IF(G253="warding","Anti-Magical","Physical"))))</f>
        <v/>
      </c>
    </row>
    <row r="254">
      <c r="J254">
        <f>IF(G254="","",IFERROR(IF(G254="infusing",IFERROR(LOOKUP(2,1/ISNUMBER(SEARCH(_lookup!$D$3:$D$4,H254)),_lookup!$E$3:$E$4),"INT"),VLOOKUP(G254,_lookup!$A$3:$B$14,2,FALSE)),""))</f>
        <v/>
      </c>
      <c r="K254">
        <f>IF(F254&lt;&gt;"weapon","",IF(G254="miscellaneous","1-4",IF(I254="","",IFERROR(VLOOKUP(I254&amp;"|"&amp;IF(LEFT(H254,2)="2H",2,1)&amp;"|"&amp;IF(G254="slashing",1,0),_lookup!$G$3:$H$18,2,FALSE),""))))</f>
        <v/>
      </c>
      <c r="L254">
        <f>IF(K254="","",IF(OR(G254="channeling",G254="infusing"),"Magical",IF(G254="blocking","Anti-Physical",IF(G254="warding","Anti-Magical","Physical"))))</f>
        <v/>
      </c>
      <c r="O254">
        <f>IF(F254&lt;&gt;"armor","","TBD")</f>
        <v/>
      </c>
      <c r="P254">
        <f>IF(O254="","",IF(OR(G254="channeling",G254="infusing"),"Magical",IF(G254="blocking","Anti-Physical",IF(G254="warding","Anti-Magical","Physical"))))</f>
        <v/>
      </c>
    </row>
    <row r="255">
      <c r="J255">
        <f>IF(G255="","",IFERROR(IF(G255="infusing",IFERROR(LOOKUP(2,1/ISNUMBER(SEARCH(_lookup!$D$3:$D$4,H255)),_lookup!$E$3:$E$4),"INT"),VLOOKUP(G255,_lookup!$A$3:$B$14,2,FALSE)),""))</f>
        <v/>
      </c>
      <c r="K255">
        <f>IF(F255&lt;&gt;"weapon","",IF(G255="miscellaneous","1-4",IF(I255="","",IFERROR(VLOOKUP(I255&amp;"|"&amp;IF(LEFT(H255,2)="2H",2,1)&amp;"|"&amp;IF(G255="slashing",1,0),_lookup!$G$3:$H$18,2,FALSE),""))))</f>
        <v/>
      </c>
      <c r="L255">
        <f>IF(K255="","",IF(OR(G255="channeling",G255="infusing"),"Magical",IF(G255="blocking","Anti-Physical",IF(G255="warding","Anti-Magical","Physical"))))</f>
        <v/>
      </c>
      <c r="O255">
        <f>IF(F255&lt;&gt;"armor","","TBD")</f>
        <v/>
      </c>
      <c r="P255">
        <f>IF(O255="","",IF(OR(G255="channeling",G255="infusing"),"Magical",IF(G255="blocking","Anti-Physical",IF(G255="warding","Anti-Magical","Physical"))))</f>
        <v/>
      </c>
    </row>
    <row r="256">
      <c r="J256">
        <f>IF(G256="","",IFERROR(IF(G256="infusing",IFERROR(LOOKUP(2,1/ISNUMBER(SEARCH(_lookup!$D$3:$D$4,H256)),_lookup!$E$3:$E$4),"INT"),VLOOKUP(G256,_lookup!$A$3:$B$14,2,FALSE)),""))</f>
        <v/>
      </c>
      <c r="K256">
        <f>IF(F256&lt;&gt;"weapon","",IF(G256="miscellaneous","1-4",IF(I256="","",IFERROR(VLOOKUP(I256&amp;"|"&amp;IF(LEFT(H256,2)="2H",2,1)&amp;"|"&amp;IF(G256="slashing",1,0),_lookup!$G$3:$H$18,2,FALSE),""))))</f>
        <v/>
      </c>
      <c r="L256">
        <f>IF(K256="","",IF(OR(G256="channeling",G256="infusing"),"Magical",IF(G256="blocking","Anti-Physical",IF(G256="warding","Anti-Magical","Physical"))))</f>
        <v/>
      </c>
      <c r="O256">
        <f>IF(F256&lt;&gt;"armor","","TBD")</f>
        <v/>
      </c>
      <c r="P256">
        <f>IF(O256="","",IF(OR(G256="channeling",G256="infusing"),"Magical",IF(G256="blocking","Anti-Physical",IF(G256="warding","Anti-Magical","Physical"))))</f>
        <v/>
      </c>
    </row>
    <row r="257">
      <c r="J257">
        <f>IF(G257="","",IFERROR(IF(G257="infusing",IFERROR(LOOKUP(2,1/ISNUMBER(SEARCH(_lookup!$D$3:$D$4,H257)),_lookup!$E$3:$E$4),"INT"),VLOOKUP(G257,_lookup!$A$3:$B$14,2,FALSE)),""))</f>
        <v/>
      </c>
      <c r="K257">
        <f>IF(F257&lt;&gt;"weapon","",IF(G257="miscellaneous","1-4",IF(I257="","",IFERROR(VLOOKUP(I257&amp;"|"&amp;IF(LEFT(H257,2)="2H",2,1)&amp;"|"&amp;IF(G257="slashing",1,0),_lookup!$G$3:$H$18,2,FALSE),""))))</f>
        <v/>
      </c>
      <c r="L257">
        <f>IF(K257="","",IF(OR(G257="channeling",G257="infusing"),"Magical",IF(G257="blocking","Anti-Physical",IF(G257="warding","Anti-Magical","Physical"))))</f>
        <v/>
      </c>
      <c r="O257">
        <f>IF(F257&lt;&gt;"armor","","TBD")</f>
        <v/>
      </c>
      <c r="P257">
        <f>IF(O257="","",IF(OR(G257="channeling",G257="infusing"),"Magical",IF(G257="blocking","Anti-Physical",IF(G257="warding","Anti-Magical","Physical"))))</f>
        <v/>
      </c>
    </row>
    <row r="258">
      <c r="J258">
        <f>IF(G258="","",IFERROR(IF(G258="infusing",IFERROR(LOOKUP(2,1/ISNUMBER(SEARCH(_lookup!$D$3:$D$4,H258)),_lookup!$E$3:$E$4),"INT"),VLOOKUP(G258,_lookup!$A$3:$B$14,2,FALSE)),""))</f>
        <v/>
      </c>
      <c r="K258">
        <f>IF(F258&lt;&gt;"weapon","",IF(G258="miscellaneous","1-4",IF(I258="","",IFERROR(VLOOKUP(I258&amp;"|"&amp;IF(LEFT(H258,2)="2H",2,1)&amp;"|"&amp;IF(G258="slashing",1,0),_lookup!$G$3:$H$18,2,FALSE),""))))</f>
        <v/>
      </c>
      <c r="L258">
        <f>IF(K258="","",IF(OR(G258="channeling",G258="infusing"),"Magical",IF(G258="blocking","Anti-Physical",IF(G258="warding","Anti-Magical","Physical"))))</f>
        <v/>
      </c>
      <c r="O258">
        <f>IF(F258&lt;&gt;"armor","","TBD")</f>
        <v/>
      </c>
      <c r="P258">
        <f>IF(O258="","",IF(OR(G258="channeling",G258="infusing"),"Magical",IF(G258="blocking","Anti-Physical",IF(G258="warding","Anti-Magical","Physical"))))</f>
        <v/>
      </c>
    </row>
    <row r="259">
      <c r="J259">
        <f>IF(G259="","",IFERROR(IF(G259="infusing",IFERROR(LOOKUP(2,1/ISNUMBER(SEARCH(_lookup!$D$3:$D$4,H259)),_lookup!$E$3:$E$4),"INT"),VLOOKUP(G259,_lookup!$A$3:$B$14,2,FALSE)),""))</f>
        <v/>
      </c>
      <c r="K259">
        <f>IF(F259&lt;&gt;"weapon","",IF(G259="miscellaneous","1-4",IF(I259="","",IFERROR(VLOOKUP(I259&amp;"|"&amp;IF(LEFT(H259,2)="2H",2,1)&amp;"|"&amp;IF(G259="slashing",1,0),_lookup!$G$3:$H$18,2,FALSE),""))))</f>
        <v/>
      </c>
      <c r="L259">
        <f>IF(K259="","",IF(OR(G259="channeling",G259="infusing"),"Magical",IF(G259="blocking","Anti-Physical",IF(G259="warding","Anti-Magical","Physical"))))</f>
        <v/>
      </c>
      <c r="O259">
        <f>IF(F259&lt;&gt;"armor","","TBD")</f>
        <v/>
      </c>
      <c r="P259">
        <f>IF(O259="","",IF(OR(G259="channeling",G259="infusing"),"Magical",IF(G259="blocking","Anti-Physical",IF(G259="warding","Anti-Magical","Physical"))))</f>
        <v/>
      </c>
    </row>
    <row r="260">
      <c r="J260">
        <f>IF(G260="","",IFERROR(IF(G260="infusing",IFERROR(LOOKUP(2,1/ISNUMBER(SEARCH(_lookup!$D$3:$D$4,H260)),_lookup!$E$3:$E$4),"INT"),VLOOKUP(G260,_lookup!$A$3:$B$14,2,FALSE)),""))</f>
        <v/>
      </c>
      <c r="K260">
        <f>IF(F260&lt;&gt;"weapon","",IF(G260="miscellaneous","1-4",IF(I260="","",IFERROR(VLOOKUP(I260&amp;"|"&amp;IF(LEFT(H260,2)="2H",2,1)&amp;"|"&amp;IF(G260="slashing",1,0),_lookup!$G$3:$H$18,2,FALSE),""))))</f>
        <v/>
      </c>
      <c r="L260">
        <f>IF(K260="","",IF(OR(G260="channeling",G260="infusing"),"Magical",IF(G260="blocking","Anti-Physical",IF(G260="warding","Anti-Magical","Physical"))))</f>
        <v/>
      </c>
      <c r="O260">
        <f>IF(F260&lt;&gt;"armor","","TBD")</f>
        <v/>
      </c>
      <c r="P260">
        <f>IF(O260="","",IF(OR(G260="channeling",G260="infusing"),"Magical",IF(G260="blocking","Anti-Physical",IF(G260="warding","Anti-Magical","Physical"))))</f>
        <v/>
      </c>
    </row>
    <row r="261">
      <c r="J261">
        <f>IF(G261="","",IFERROR(IF(G261="infusing",IFERROR(LOOKUP(2,1/ISNUMBER(SEARCH(_lookup!$D$3:$D$4,H261)),_lookup!$E$3:$E$4),"INT"),VLOOKUP(G261,_lookup!$A$3:$B$14,2,FALSE)),""))</f>
        <v/>
      </c>
      <c r="K261">
        <f>IF(F261&lt;&gt;"weapon","",IF(G261="miscellaneous","1-4",IF(I261="","",IFERROR(VLOOKUP(I261&amp;"|"&amp;IF(LEFT(H261,2)="2H",2,1)&amp;"|"&amp;IF(G261="slashing",1,0),_lookup!$G$3:$H$18,2,FALSE),""))))</f>
        <v/>
      </c>
      <c r="L261">
        <f>IF(K261="","",IF(OR(G261="channeling",G261="infusing"),"Magical",IF(G261="blocking","Anti-Physical",IF(G261="warding","Anti-Magical","Physical"))))</f>
        <v/>
      </c>
      <c r="O261">
        <f>IF(F261&lt;&gt;"armor","","TBD")</f>
        <v/>
      </c>
      <c r="P261">
        <f>IF(O261="","",IF(OR(G261="channeling",G261="infusing"),"Magical",IF(G261="blocking","Anti-Physical",IF(G261="warding","Anti-Magical","Physical"))))</f>
        <v/>
      </c>
    </row>
    <row r="262">
      <c r="J262">
        <f>IF(G262="","",IFERROR(IF(G262="infusing",IFERROR(LOOKUP(2,1/ISNUMBER(SEARCH(_lookup!$D$3:$D$4,H262)),_lookup!$E$3:$E$4),"INT"),VLOOKUP(G262,_lookup!$A$3:$B$14,2,FALSE)),""))</f>
        <v/>
      </c>
      <c r="K262">
        <f>IF(F262&lt;&gt;"weapon","",IF(G262="miscellaneous","1-4",IF(I262="","",IFERROR(VLOOKUP(I262&amp;"|"&amp;IF(LEFT(H262,2)="2H",2,1)&amp;"|"&amp;IF(G262="slashing",1,0),_lookup!$G$3:$H$18,2,FALSE),""))))</f>
        <v/>
      </c>
      <c r="L262">
        <f>IF(K262="","",IF(OR(G262="channeling",G262="infusing"),"Magical",IF(G262="blocking","Anti-Physical",IF(G262="warding","Anti-Magical","Physical"))))</f>
        <v/>
      </c>
      <c r="O262">
        <f>IF(F262&lt;&gt;"armor","","TBD")</f>
        <v/>
      </c>
      <c r="P262">
        <f>IF(O262="","",IF(OR(G262="channeling",G262="infusing"),"Magical",IF(G262="blocking","Anti-Physical",IF(G262="warding","Anti-Magical","Physical"))))</f>
        <v/>
      </c>
    </row>
    <row r="263">
      <c r="J263">
        <f>IF(G263="","",IFERROR(IF(G263="infusing",IFERROR(LOOKUP(2,1/ISNUMBER(SEARCH(_lookup!$D$3:$D$4,H263)),_lookup!$E$3:$E$4),"INT"),VLOOKUP(G263,_lookup!$A$3:$B$14,2,FALSE)),""))</f>
        <v/>
      </c>
      <c r="K263">
        <f>IF(F263&lt;&gt;"weapon","",IF(G263="miscellaneous","1-4",IF(I263="","",IFERROR(VLOOKUP(I263&amp;"|"&amp;IF(LEFT(H263,2)="2H",2,1)&amp;"|"&amp;IF(G263="slashing",1,0),_lookup!$G$3:$H$18,2,FALSE),""))))</f>
        <v/>
      </c>
      <c r="L263">
        <f>IF(K263="","",IF(OR(G263="channeling",G263="infusing"),"Magical",IF(G263="blocking","Anti-Physical",IF(G263="warding","Anti-Magical","Physical"))))</f>
        <v/>
      </c>
      <c r="O263">
        <f>IF(F263&lt;&gt;"armor","","TBD")</f>
        <v/>
      </c>
      <c r="P263">
        <f>IF(O263="","",IF(OR(G263="channeling",G263="infusing"),"Magical",IF(G263="blocking","Anti-Physical",IF(G263="warding","Anti-Magical","Physical"))))</f>
        <v/>
      </c>
    </row>
    <row r="264">
      <c r="J264">
        <f>IF(G264="","",IFERROR(IF(G264="infusing",IFERROR(LOOKUP(2,1/ISNUMBER(SEARCH(_lookup!$D$3:$D$4,H264)),_lookup!$E$3:$E$4),"INT"),VLOOKUP(G264,_lookup!$A$3:$B$14,2,FALSE)),""))</f>
        <v/>
      </c>
      <c r="K264">
        <f>IF(F264&lt;&gt;"weapon","",IF(G264="miscellaneous","1-4",IF(I264="","",IFERROR(VLOOKUP(I264&amp;"|"&amp;IF(LEFT(H264,2)="2H",2,1)&amp;"|"&amp;IF(G264="slashing",1,0),_lookup!$G$3:$H$18,2,FALSE),""))))</f>
        <v/>
      </c>
      <c r="L264">
        <f>IF(K264="","",IF(OR(G264="channeling",G264="infusing"),"Magical",IF(G264="blocking","Anti-Physical",IF(G264="warding","Anti-Magical","Physical"))))</f>
        <v/>
      </c>
      <c r="O264">
        <f>IF(F264&lt;&gt;"armor","","TBD")</f>
        <v/>
      </c>
      <c r="P264">
        <f>IF(O264="","",IF(OR(G264="channeling",G264="infusing"),"Magical",IF(G264="blocking","Anti-Physical",IF(G264="warding","Anti-Magical","Physical"))))</f>
        <v/>
      </c>
    </row>
    <row r="265">
      <c r="J265">
        <f>IF(G265="","",IFERROR(IF(G265="infusing",IFERROR(LOOKUP(2,1/ISNUMBER(SEARCH(_lookup!$D$3:$D$4,H265)),_lookup!$E$3:$E$4),"INT"),VLOOKUP(G265,_lookup!$A$3:$B$14,2,FALSE)),""))</f>
        <v/>
      </c>
      <c r="K265">
        <f>IF(F265&lt;&gt;"weapon","",IF(G265="miscellaneous","1-4",IF(I265="","",IFERROR(VLOOKUP(I265&amp;"|"&amp;IF(LEFT(H265,2)="2H",2,1)&amp;"|"&amp;IF(G265="slashing",1,0),_lookup!$G$3:$H$18,2,FALSE),""))))</f>
        <v/>
      </c>
      <c r="L265">
        <f>IF(K265="","",IF(OR(G265="channeling",G265="infusing"),"Magical",IF(G265="blocking","Anti-Physical",IF(G265="warding","Anti-Magical","Physical"))))</f>
        <v/>
      </c>
      <c r="O265">
        <f>IF(F265&lt;&gt;"armor","","TBD")</f>
        <v/>
      </c>
      <c r="P265">
        <f>IF(O265="","",IF(OR(G265="channeling",G265="infusing"),"Magical",IF(G265="blocking","Anti-Physical",IF(G265="warding","Anti-Magical","Physical"))))</f>
        <v/>
      </c>
    </row>
    <row r="266">
      <c r="J266">
        <f>IF(G266="","",IFERROR(IF(G266="infusing",IFERROR(LOOKUP(2,1/ISNUMBER(SEARCH(_lookup!$D$3:$D$4,H266)),_lookup!$E$3:$E$4),"INT"),VLOOKUP(G266,_lookup!$A$3:$B$14,2,FALSE)),""))</f>
        <v/>
      </c>
      <c r="K266">
        <f>IF(F266&lt;&gt;"weapon","",IF(G266="miscellaneous","1-4",IF(I266="","",IFERROR(VLOOKUP(I266&amp;"|"&amp;IF(LEFT(H266,2)="2H",2,1)&amp;"|"&amp;IF(G266="slashing",1,0),_lookup!$G$3:$H$18,2,FALSE),""))))</f>
        <v/>
      </c>
      <c r="L266">
        <f>IF(K266="","",IF(OR(G266="channeling",G266="infusing"),"Magical",IF(G266="blocking","Anti-Physical",IF(G266="warding","Anti-Magical","Physical"))))</f>
        <v/>
      </c>
      <c r="O266">
        <f>IF(F266&lt;&gt;"armor","","TBD")</f>
        <v/>
      </c>
      <c r="P266">
        <f>IF(O266="","",IF(OR(G266="channeling",G266="infusing"),"Magical",IF(G266="blocking","Anti-Physical",IF(G266="warding","Anti-Magical","Physical"))))</f>
        <v/>
      </c>
    </row>
    <row r="267">
      <c r="J267">
        <f>IF(G267="","",IFERROR(IF(G267="infusing",IFERROR(LOOKUP(2,1/ISNUMBER(SEARCH(_lookup!$D$3:$D$4,H267)),_lookup!$E$3:$E$4),"INT"),VLOOKUP(G267,_lookup!$A$3:$B$14,2,FALSE)),""))</f>
        <v/>
      </c>
      <c r="K267">
        <f>IF(F267&lt;&gt;"weapon","",IF(G267="miscellaneous","1-4",IF(I267="","",IFERROR(VLOOKUP(I267&amp;"|"&amp;IF(LEFT(H267,2)="2H",2,1)&amp;"|"&amp;IF(G267="slashing",1,0),_lookup!$G$3:$H$18,2,FALSE),""))))</f>
        <v/>
      </c>
      <c r="L267">
        <f>IF(K267="","",IF(OR(G267="channeling",G267="infusing"),"Magical",IF(G267="blocking","Anti-Physical",IF(G267="warding","Anti-Magical","Physical"))))</f>
        <v/>
      </c>
      <c r="O267">
        <f>IF(F267&lt;&gt;"armor","","TBD")</f>
        <v/>
      </c>
      <c r="P267">
        <f>IF(O267="","",IF(OR(G267="channeling",G267="infusing"),"Magical",IF(G267="blocking","Anti-Physical",IF(G267="warding","Anti-Magical","Physical"))))</f>
        <v/>
      </c>
    </row>
    <row r="268">
      <c r="J268">
        <f>IF(G268="","",IFERROR(IF(G268="infusing",IFERROR(LOOKUP(2,1/ISNUMBER(SEARCH(_lookup!$D$3:$D$4,H268)),_lookup!$E$3:$E$4),"INT"),VLOOKUP(G268,_lookup!$A$3:$B$14,2,FALSE)),""))</f>
        <v/>
      </c>
      <c r="K268">
        <f>IF(F268&lt;&gt;"weapon","",IF(G268="miscellaneous","1-4",IF(I268="","",IFERROR(VLOOKUP(I268&amp;"|"&amp;IF(LEFT(H268,2)="2H",2,1)&amp;"|"&amp;IF(G268="slashing",1,0),_lookup!$G$3:$H$18,2,FALSE),""))))</f>
        <v/>
      </c>
      <c r="L268">
        <f>IF(K268="","",IF(OR(G268="channeling",G268="infusing"),"Magical",IF(G268="blocking","Anti-Physical",IF(G268="warding","Anti-Magical","Physical"))))</f>
        <v/>
      </c>
      <c r="O268">
        <f>IF(F268&lt;&gt;"armor","","TBD")</f>
        <v/>
      </c>
      <c r="P268">
        <f>IF(O268="","",IF(OR(G268="channeling",G268="infusing"),"Magical",IF(G268="blocking","Anti-Physical",IF(G268="warding","Anti-Magical","Physical"))))</f>
        <v/>
      </c>
    </row>
    <row r="269">
      <c r="J269">
        <f>IF(G269="","",IFERROR(IF(G269="infusing",IFERROR(LOOKUP(2,1/ISNUMBER(SEARCH(_lookup!$D$3:$D$4,H269)),_lookup!$E$3:$E$4),"INT"),VLOOKUP(G269,_lookup!$A$3:$B$14,2,FALSE)),""))</f>
        <v/>
      </c>
      <c r="K269">
        <f>IF(F269&lt;&gt;"weapon","",IF(G269="miscellaneous","1-4",IF(I269="","",IFERROR(VLOOKUP(I269&amp;"|"&amp;IF(LEFT(H269,2)="2H",2,1)&amp;"|"&amp;IF(G269="slashing",1,0),_lookup!$G$3:$H$18,2,FALSE),""))))</f>
        <v/>
      </c>
      <c r="L269">
        <f>IF(K269="","",IF(OR(G269="channeling",G269="infusing"),"Magical",IF(G269="blocking","Anti-Physical",IF(G269="warding","Anti-Magical","Physical"))))</f>
        <v/>
      </c>
      <c r="O269">
        <f>IF(F269&lt;&gt;"armor","","TBD")</f>
        <v/>
      </c>
      <c r="P269">
        <f>IF(O269="","",IF(OR(G269="channeling",G269="infusing"),"Magical",IF(G269="blocking","Anti-Physical",IF(G269="warding","Anti-Magical","Physical"))))</f>
        <v/>
      </c>
    </row>
    <row r="270">
      <c r="J270">
        <f>IF(G270="","",IFERROR(IF(G270="infusing",IFERROR(LOOKUP(2,1/ISNUMBER(SEARCH(_lookup!$D$3:$D$4,H270)),_lookup!$E$3:$E$4),"INT"),VLOOKUP(G270,_lookup!$A$3:$B$14,2,FALSE)),""))</f>
        <v/>
      </c>
      <c r="K270">
        <f>IF(F270&lt;&gt;"weapon","",IF(G270="miscellaneous","1-4",IF(I270="","",IFERROR(VLOOKUP(I270&amp;"|"&amp;IF(LEFT(H270,2)="2H",2,1)&amp;"|"&amp;IF(G270="slashing",1,0),_lookup!$G$3:$H$18,2,FALSE),""))))</f>
        <v/>
      </c>
      <c r="L270">
        <f>IF(K270="","",IF(OR(G270="channeling",G270="infusing"),"Magical",IF(G270="blocking","Anti-Physical",IF(G270="warding","Anti-Magical","Physical"))))</f>
        <v/>
      </c>
      <c r="O270">
        <f>IF(F270&lt;&gt;"armor","","TBD")</f>
        <v/>
      </c>
      <c r="P270">
        <f>IF(O270="","",IF(OR(G270="channeling",G270="infusing"),"Magical",IF(G270="blocking","Anti-Physical",IF(G270="warding","Anti-Magical","Physical"))))</f>
        <v/>
      </c>
    </row>
    <row r="271">
      <c r="J271">
        <f>IF(G271="","",IFERROR(IF(G271="infusing",IFERROR(LOOKUP(2,1/ISNUMBER(SEARCH(_lookup!$D$3:$D$4,H271)),_lookup!$E$3:$E$4),"INT"),VLOOKUP(G271,_lookup!$A$3:$B$14,2,FALSE)),""))</f>
        <v/>
      </c>
      <c r="K271">
        <f>IF(F271&lt;&gt;"weapon","",IF(G271="miscellaneous","1-4",IF(I271="","",IFERROR(VLOOKUP(I271&amp;"|"&amp;IF(LEFT(H271,2)="2H",2,1)&amp;"|"&amp;IF(G271="slashing",1,0),_lookup!$G$3:$H$18,2,FALSE),""))))</f>
        <v/>
      </c>
      <c r="L271">
        <f>IF(K271="","",IF(OR(G271="channeling",G271="infusing"),"Magical",IF(G271="blocking","Anti-Physical",IF(G271="warding","Anti-Magical","Physical"))))</f>
        <v/>
      </c>
      <c r="O271">
        <f>IF(F271&lt;&gt;"armor","","TBD")</f>
        <v/>
      </c>
      <c r="P271">
        <f>IF(O271="","",IF(OR(G271="channeling",G271="infusing"),"Magical",IF(G271="blocking","Anti-Physical",IF(G271="warding","Anti-Magical","Physical"))))</f>
        <v/>
      </c>
    </row>
    <row r="272">
      <c r="J272">
        <f>IF(G272="","",IFERROR(IF(G272="infusing",IFERROR(LOOKUP(2,1/ISNUMBER(SEARCH(_lookup!$D$3:$D$4,H272)),_lookup!$E$3:$E$4),"INT"),VLOOKUP(G272,_lookup!$A$3:$B$14,2,FALSE)),""))</f>
        <v/>
      </c>
      <c r="K272">
        <f>IF(F272&lt;&gt;"weapon","",IF(G272="miscellaneous","1-4",IF(I272="","",IFERROR(VLOOKUP(I272&amp;"|"&amp;IF(LEFT(H272,2)="2H",2,1)&amp;"|"&amp;IF(G272="slashing",1,0),_lookup!$G$3:$H$18,2,FALSE),""))))</f>
        <v/>
      </c>
      <c r="L272">
        <f>IF(K272="","",IF(OR(G272="channeling",G272="infusing"),"Magical",IF(G272="blocking","Anti-Physical",IF(G272="warding","Anti-Magical","Physical"))))</f>
        <v/>
      </c>
      <c r="O272">
        <f>IF(F272&lt;&gt;"armor","","TBD")</f>
        <v/>
      </c>
      <c r="P272">
        <f>IF(O272="","",IF(OR(G272="channeling",G272="infusing"),"Magical",IF(G272="blocking","Anti-Physical",IF(G272="warding","Anti-Magical","Physical"))))</f>
        <v/>
      </c>
    </row>
    <row r="273">
      <c r="J273">
        <f>IF(G273="","",IFERROR(IF(G273="infusing",IFERROR(LOOKUP(2,1/ISNUMBER(SEARCH(_lookup!$D$3:$D$4,H273)),_lookup!$E$3:$E$4),"INT"),VLOOKUP(G273,_lookup!$A$3:$B$14,2,FALSE)),""))</f>
        <v/>
      </c>
      <c r="K273">
        <f>IF(F273&lt;&gt;"weapon","",IF(G273="miscellaneous","1-4",IF(I273="","",IFERROR(VLOOKUP(I273&amp;"|"&amp;IF(LEFT(H273,2)="2H",2,1)&amp;"|"&amp;IF(G273="slashing",1,0),_lookup!$G$3:$H$18,2,FALSE),""))))</f>
        <v/>
      </c>
      <c r="L273">
        <f>IF(K273="","",IF(OR(G273="channeling",G273="infusing"),"Magical",IF(G273="blocking","Anti-Physical",IF(G273="warding","Anti-Magical","Physical"))))</f>
        <v/>
      </c>
      <c r="O273">
        <f>IF(F273&lt;&gt;"armor","","TBD")</f>
        <v/>
      </c>
      <c r="P273">
        <f>IF(O273="","",IF(OR(G273="channeling",G273="infusing"),"Magical",IF(G273="blocking","Anti-Physical",IF(G273="warding","Anti-Magical","Physical"))))</f>
        <v/>
      </c>
    </row>
    <row r="274">
      <c r="J274">
        <f>IF(G274="","",IFERROR(IF(G274="infusing",IFERROR(LOOKUP(2,1/ISNUMBER(SEARCH(_lookup!$D$3:$D$4,H274)),_lookup!$E$3:$E$4),"INT"),VLOOKUP(G274,_lookup!$A$3:$B$14,2,FALSE)),""))</f>
        <v/>
      </c>
      <c r="K274">
        <f>IF(F274&lt;&gt;"weapon","",IF(G274="miscellaneous","1-4",IF(I274="","",IFERROR(VLOOKUP(I274&amp;"|"&amp;IF(LEFT(H274,2)="2H",2,1)&amp;"|"&amp;IF(G274="slashing",1,0),_lookup!$G$3:$H$18,2,FALSE),""))))</f>
        <v/>
      </c>
      <c r="L274">
        <f>IF(K274="","",IF(OR(G274="channeling",G274="infusing"),"Magical",IF(G274="blocking","Anti-Physical",IF(G274="warding","Anti-Magical","Physical"))))</f>
        <v/>
      </c>
      <c r="O274">
        <f>IF(F274&lt;&gt;"armor","","TBD")</f>
        <v/>
      </c>
      <c r="P274">
        <f>IF(O274="","",IF(OR(G274="channeling",G274="infusing"),"Magical",IF(G274="blocking","Anti-Physical",IF(G274="warding","Anti-Magical","Physical"))))</f>
        <v/>
      </c>
    </row>
    <row r="275">
      <c r="J275">
        <f>IF(G275="","",IFERROR(IF(G275="infusing",IFERROR(LOOKUP(2,1/ISNUMBER(SEARCH(_lookup!$D$3:$D$4,H275)),_lookup!$E$3:$E$4),"INT"),VLOOKUP(G275,_lookup!$A$3:$B$14,2,FALSE)),""))</f>
        <v/>
      </c>
      <c r="K275">
        <f>IF(F275&lt;&gt;"weapon","",IF(G275="miscellaneous","1-4",IF(I275="","",IFERROR(VLOOKUP(I275&amp;"|"&amp;IF(LEFT(H275,2)="2H",2,1)&amp;"|"&amp;IF(G275="slashing",1,0),_lookup!$G$3:$H$18,2,FALSE),""))))</f>
        <v/>
      </c>
      <c r="L275">
        <f>IF(K275="","",IF(OR(G275="channeling",G275="infusing"),"Magical",IF(G275="blocking","Anti-Physical",IF(G275="warding","Anti-Magical","Physical"))))</f>
        <v/>
      </c>
      <c r="O275">
        <f>IF(F275&lt;&gt;"armor","","TBD")</f>
        <v/>
      </c>
      <c r="P275">
        <f>IF(O275="","",IF(OR(G275="channeling",G275="infusing"),"Magical",IF(G275="blocking","Anti-Physical",IF(G275="warding","Anti-Magical","Physical"))))</f>
        <v/>
      </c>
    </row>
    <row r="276">
      <c r="J276">
        <f>IF(G276="","",IFERROR(IF(G276="infusing",IFERROR(LOOKUP(2,1/ISNUMBER(SEARCH(_lookup!$D$3:$D$4,H276)),_lookup!$E$3:$E$4),"INT"),VLOOKUP(G276,_lookup!$A$3:$B$14,2,FALSE)),""))</f>
        <v/>
      </c>
      <c r="K276">
        <f>IF(F276&lt;&gt;"weapon","",IF(G276="miscellaneous","1-4",IF(I276="","",IFERROR(VLOOKUP(I276&amp;"|"&amp;IF(LEFT(H276,2)="2H",2,1)&amp;"|"&amp;IF(G276="slashing",1,0),_lookup!$G$3:$H$18,2,FALSE),""))))</f>
        <v/>
      </c>
      <c r="L276">
        <f>IF(K276="","",IF(OR(G276="channeling",G276="infusing"),"Magical",IF(G276="blocking","Anti-Physical",IF(G276="warding","Anti-Magical","Physical"))))</f>
        <v/>
      </c>
      <c r="O276">
        <f>IF(F276&lt;&gt;"armor","","TBD")</f>
        <v/>
      </c>
      <c r="P276">
        <f>IF(O276="","",IF(OR(G276="channeling",G276="infusing"),"Magical",IF(G276="blocking","Anti-Physical",IF(G276="warding","Anti-Magical","Physical"))))</f>
        <v/>
      </c>
    </row>
    <row r="277">
      <c r="J277">
        <f>IF(G277="","",IFERROR(IF(G277="infusing",IFERROR(LOOKUP(2,1/ISNUMBER(SEARCH(_lookup!$D$3:$D$4,H277)),_lookup!$E$3:$E$4),"INT"),VLOOKUP(G277,_lookup!$A$3:$B$14,2,FALSE)),""))</f>
        <v/>
      </c>
      <c r="K277">
        <f>IF(F277&lt;&gt;"weapon","",IF(G277="miscellaneous","1-4",IF(I277="","",IFERROR(VLOOKUP(I277&amp;"|"&amp;IF(LEFT(H277,2)="2H",2,1)&amp;"|"&amp;IF(G277="slashing",1,0),_lookup!$G$3:$H$18,2,FALSE),""))))</f>
        <v/>
      </c>
      <c r="L277">
        <f>IF(K277="","",IF(OR(G277="channeling",G277="infusing"),"Magical",IF(G277="blocking","Anti-Physical",IF(G277="warding","Anti-Magical","Physical"))))</f>
        <v/>
      </c>
      <c r="O277">
        <f>IF(F277&lt;&gt;"armor","","TBD")</f>
        <v/>
      </c>
      <c r="P277">
        <f>IF(O277="","",IF(OR(G277="channeling",G277="infusing"),"Magical",IF(G277="blocking","Anti-Physical",IF(G277="warding","Anti-Magical","Physical"))))</f>
        <v/>
      </c>
    </row>
    <row r="278">
      <c r="J278">
        <f>IF(G278="","",IFERROR(IF(G278="infusing",IFERROR(LOOKUP(2,1/ISNUMBER(SEARCH(_lookup!$D$3:$D$4,H278)),_lookup!$E$3:$E$4),"INT"),VLOOKUP(G278,_lookup!$A$3:$B$14,2,FALSE)),""))</f>
        <v/>
      </c>
      <c r="K278">
        <f>IF(F278&lt;&gt;"weapon","",IF(G278="miscellaneous","1-4",IF(I278="","",IFERROR(VLOOKUP(I278&amp;"|"&amp;IF(LEFT(H278,2)="2H",2,1)&amp;"|"&amp;IF(G278="slashing",1,0),_lookup!$G$3:$H$18,2,FALSE),""))))</f>
        <v/>
      </c>
      <c r="L278">
        <f>IF(K278="","",IF(OR(G278="channeling",G278="infusing"),"Magical",IF(G278="blocking","Anti-Physical",IF(G278="warding","Anti-Magical","Physical"))))</f>
        <v/>
      </c>
      <c r="O278">
        <f>IF(F278&lt;&gt;"armor","","TBD")</f>
        <v/>
      </c>
      <c r="P278">
        <f>IF(O278="","",IF(OR(G278="channeling",G278="infusing"),"Magical",IF(G278="blocking","Anti-Physical",IF(G278="warding","Anti-Magical","Physical"))))</f>
        <v/>
      </c>
    </row>
    <row r="279">
      <c r="J279">
        <f>IF(G279="","",IFERROR(IF(G279="infusing",IFERROR(LOOKUP(2,1/ISNUMBER(SEARCH(_lookup!$D$3:$D$4,H279)),_lookup!$E$3:$E$4),"INT"),VLOOKUP(G279,_lookup!$A$3:$B$14,2,FALSE)),""))</f>
        <v/>
      </c>
      <c r="K279">
        <f>IF(F279&lt;&gt;"weapon","",IF(G279="miscellaneous","1-4",IF(I279="","",IFERROR(VLOOKUP(I279&amp;"|"&amp;IF(LEFT(H279,2)="2H",2,1)&amp;"|"&amp;IF(G279="slashing",1,0),_lookup!$G$3:$H$18,2,FALSE),""))))</f>
        <v/>
      </c>
      <c r="L279">
        <f>IF(K279="","",IF(OR(G279="channeling",G279="infusing"),"Magical",IF(G279="blocking","Anti-Physical",IF(G279="warding","Anti-Magical","Physical"))))</f>
        <v/>
      </c>
      <c r="O279">
        <f>IF(F279&lt;&gt;"armor","","TBD")</f>
        <v/>
      </c>
      <c r="P279">
        <f>IF(O279="","",IF(OR(G279="channeling",G279="infusing"),"Magical",IF(G279="blocking","Anti-Physical",IF(G279="warding","Anti-Magical","Physical"))))</f>
        <v/>
      </c>
    </row>
    <row r="280">
      <c r="J280">
        <f>IF(G280="","",IFERROR(IF(G280="infusing",IFERROR(LOOKUP(2,1/ISNUMBER(SEARCH(_lookup!$D$3:$D$4,H280)),_lookup!$E$3:$E$4),"INT"),VLOOKUP(G280,_lookup!$A$3:$B$14,2,FALSE)),""))</f>
        <v/>
      </c>
      <c r="K280">
        <f>IF(F280&lt;&gt;"weapon","",IF(G280="miscellaneous","1-4",IF(I280="","",IFERROR(VLOOKUP(I280&amp;"|"&amp;IF(LEFT(H280,2)="2H",2,1)&amp;"|"&amp;IF(G280="slashing",1,0),_lookup!$G$3:$H$18,2,FALSE),""))))</f>
        <v/>
      </c>
      <c r="L280">
        <f>IF(K280="","",IF(OR(G280="channeling",G280="infusing"),"Magical",IF(G280="blocking","Anti-Physical",IF(G280="warding","Anti-Magical","Physical"))))</f>
        <v/>
      </c>
      <c r="O280">
        <f>IF(F280&lt;&gt;"armor","","TBD")</f>
        <v/>
      </c>
      <c r="P280">
        <f>IF(O280="","",IF(OR(G280="channeling",G280="infusing"),"Magical",IF(G280="blocking","Anti-Physical",IF(G280="warding","Anti-Magical","Physical"))))</f>
        <v/>
      </c>
    </row>
    <row r="281">
      <c r="J281">
        <f>IF(G281="","",IFERROR(IF(G281="infusing",IFERROR(LOOKUP(2,1/ISNUMBER(SEARCH(_lookup!$D$3:$D$4,H281)),_lookup!$E$3:$E$4),"INT"),VLOOKUP(G281,_lookup!$A$3:$B$14,2,FALSE)),""))</f>
        <v/>
      </c>
      <c r="K281">
        <f>IF(F281&lt;&gt;"weapon","",IF(G281="miscellaneous","1-4",IF(I281="","",IFERROR(VLOOKUP(I281&amp;"|"&amp;IF(LEFT(H281,2)="2H",2,1)&amp;"|"&amp;IF(G281="slashing",1,0),_lookup!$G$3:$H$18,2,FALSE),""))))</f>
        <v/>
      </c>
      <c r="L281">
        <f>IF(K281="","",IF(OR(G281="channeling",G281="infusing"),"Magical",IF(G281="blocking","Anti-Physical",IF(G281="warding","Anti-Magical","Physical"))))</f>
        <v/>
      </c>
      <c r="O281">
        <f>IF(F281&lt;&gt;"armor","","TBD")</f>
        <v/>
      </c>
      <c r="P281">
        <f>IF(O281="","",IF(OR(G281="channeling",G281="infusing"),"Magical",IF(G281="blocking","Anti-Physical",IF(G281="warding","Anti-Magical","Physical"))))</f>
        <v/>
      </c>
    </row>
    <row r="282">
      <c r="J282">
        <f>IF(G282="","",IFERROR(IF(G282="infusing",IFERROR(LOOKUP(2,1/ISNUMBER(SEARCH(_lookup!$D$3:$D$4,H282)),_lookup!$E$3:$E$4),"INT"),VLOOKUP(G282,_lookup!$A$3:$B$14,2,FALSE)),""))</f>
        <v/>
      </c>
      <c r="K282">
        <f>IF(F282&lt;&gt;"weapon","",IF(G282="miscellaneous","1-4",IF(I282="","",IFERROR(VLOOKUP(I282&amp;"|"&amp;IF(LEFT(H282,2)="2H",2,1)&amp;"|"&amp;IF(G282="slashing",1,0),_lookup!$G$3:$H$18,2,FALSE),""))))</f>
        <v/>
      </c>
      <c r="L282">
        <f>IF(K282="","",IF(OR(G282="channeling",G282="infusing"),"Magical",IF(G282="blocking","Anti-Physical",IF(G282="warding","Anti-Magical","Physical"))))</f>
        <v/>
      </c>
      <c r="O282">
        <f>IF(F282&lt;&gt;"armor","","TBD")</f>
        <v/>
      </c>
      <c r="P282">
        <f>IF(O282="","",IF(OR(G282="channeling",G282="infusing"),"Magical",IF(G282="blocking","Anti-Physical",IF(G282="warding","Anti-Magical","Physical"))))</f>
        <v/>
      </c>
    </row>
    <row r="283">
      <c r="J283">
        <f>IF(G283="","",IFERROR(IF(G283="infusing",IFERROR(LOOKUP(2,1/ISNUMBER(SEARCH(_lookup!$D$3:$D$4,H283)),_lookup!$E$3:$E$4),"INT"),VLOOKUP(G283,_lookup!$A$3:$B$14,2,FALSE)),""))</f>
        <v/>
      </c>
      <c r="K283">
        <f>IF(F283&lt;&gt;"weapon","",IF(G283="miscellaneous","1-4",IF(I283="","",IFERROR(VLOOKUP(I283&amp;"|"&amp;IF(LEFT(H283,2)="2H",2,1)&amp;"|"&amp;IF(G283="slashing",1,0),_lookup!$G$3:$H$18,2,FALSE),""))))</f>
        <v/>
      </c>
      <c r="L283">
        <f>IF(K283="","",IF(OR(G283="channeling",G283="infusing"),"Magical",IF(G283="blocking","Anti-Physical",IF(G283="warding","Anti-Magical","Physical"))))</f>
        <v/>
      </c>
      <c r="O283">
        <f>IF(F283&lt;&gt;"armor","","TBD")</f>
        <v/>
      </c>
      <c r="P283">
        <f>IF(O283="","",IF(OR(G283="channeling",G283="infusing"),"Magical",IF(G283="blocking","Anti-Physical",IF(G283="warding","Anti-Magical","Physical"))))</f>
        <v/>
      </c>
    </row>
    <row r="284">
      <c r="J284">
        <f>IF(G284="","",IFERROR(IF(G284="infusing",IFERROR(LOOKUP(2,1/ISNUMBER(SEARCH(_lookup!$D$3:$D$4,H284)),_lookup!$E$3:$E$4),"INT"),VLOOKUP(G284,_lookup!$A$3:$B$14,2,FALSE)),""))</f>
        <v/>
      </c>
      <c r="K284">
        <f>IF(F284&lt;&gt;"weapon","",IF(G284="miscellaneous","1-4",IF(I284="","",IFERROR(VLOOKUP(I284&amp;"|"&amp;IF(LEFT(H284,2)="2H",2,1)&amp;"|"&amp;IF(G284="slashing",1,0),_lookup!$G$3:$H$18,2,FALSE),""))))</f>
        <v/>
      </c>
      <c r="L284">
        <f>IF(K284="","",IF(OR(G284="channeling",G284="infusing"),"Magical",IF(G284="blocking","Anti-Physical",IF(G284="warding","Anti-Magical","Physical"))))</f>
        <v/>
      </c>
      <c r="O284">
        <f>IF(F284&lt;&gt;"armor","","TBD")</f>
        <v/>
      </c>
      <c r="P284">
        <f>IF(O284="","",IF(OR(G284="channeling",G284="infusing"),"Magical",IF(G284="blocking","Anti-Physical",IF(G284="warding","Anti-Magical","Physical"))))</f>
        <v/>
      </c>
    </row>
    <row r="285">
      <c r="J285">
        <f>IF(G285="","",IFERROR(IF(G285="infusing",IFERROR(LOOKUP(2,1/ISNUMBER(SEARCH(_lookup!$D$3:$D$4,H285)),_lookup!$E$3:$E$4),"INT"),VLOOKUP(G285,_lookup!$A$3:$B$14,2,FALSE)),""))</f>
        <v/>
      </c>
      <c r="K285">
        <f>IF(F285&lt;&gt;"weapon","",IF(G285="miscellaneous","1-4",IF(I285="","",IFERROR(VLOOKUP(I285&amp;"|"&amp;IF(LEFT(H285,2)="2H",2,1)&amp;"|"&amp;IF(G285="slashing",1,0),_lookup!$G$3:$H$18,2,FALSE),""))))</f>
        <v/>
      </c>
      <c r="L285">
        <f>IF(K285="","",IF(OR(G285="channeling",G285="infusing"),"Magical",IF(G285="blocking","Anti-Physical",IF(G285="warding","Anti-Magical","Physical"))))</f>
        <v/>
      </c>
      <c r="O285">
        <f>IF(F285&lt;&gt;"armor","","TBD")</f>
        <v/>
      </c>
      <c r="P285">
        <f>IF(O285="","",IF(OR(G285="channeling",G285="infusing"),"Magical",IF(G285="blocking","Anti-Physical",IF(G285="warding","Anti-Magical","Physical"))))</f>
        <v/>
      </c>
    </row>
    <row r="286">
      <c r="J286">
        <f>IF(G286="","",IFERROR(IF(G286="infusing",IFERROR(LOOKUP(2,1/ISNUMBER(SEARCH(_lookup!$D$3:$D$4,H286)),_lookup!$E$3:$E$4),"INT"),VLOOKUP(G286,_lookup!$A$3:$B$14,2,FALSE)),""))</f>
        <v/>
      </c>
      <c r="K286">
        <f>IF(F286&lt;&gt;"weapon","",IF(G286="miscellaneous","1-4",IF(I286="","",IFERROR(VLOOKUP(I286&amp;"|"&amp;IF(LEFT(H286,2)="2H",2,1)&amp;"|"&amp;IF(G286="slashing",1,0),_lookup!$G$3:$H$18,2,FALSE),""))))</f>
        <v/>
      </c>
      <c r="L286">
        <f>IF(K286="","",IF(OR(G286="channeling",G286="infusing"),"Magical",IF(G286="blocking","Anti-Physical",IF(G286="warding","Anti-Magical","Physical"))))</f>
        <v/>
      </c>
      <c r="O286">
        <f>IF(F286&lt;&gt;"armor","","TBD")</f>
        <v/>
      </c>
      <c r="P286">
        <f>IF(O286="","",IF(OR(G286="channeling",G286="infusing"),"Magical",IF(G286="blocking","Anti-Physical",IF(G286="warding","Anti-Magical","Physical"))))</f>
        <v/>
      </c>
    </row>
    <row r="287">
      <c r="J287">
        <f>IF(G287="","",IFERROR(IF(G287="infusing",IFERROR(LOOKUP(2,1/ISNUMBER(SEARCH(_lookup!$D$3:$D$4,H287)),_lookup!$E$3:$E$4),"INT"),VLOOKUP(G287,_lookup!$A$3:$B$14,2,FALSE)),""))</f>
        <v/>
      </c>
      <c r="K287">
        <f>IF(F287&lt;&gt;"weapon","",IF(G287="miscellaneous","1-4",IF(I287="","",IFERROR(VLOOKUP(I287&amp;"|"&amp;IF(LEFT(H287,2)="2H",2,1)&amp;"|"&amp;IF(G287="slashing",1,0),_lookup!$G$3:$H$18,2,FALSE),""))))</f>
        <v/>
      </c>
      <c r="L287">
        <f>IF(K287="","",IF(OR(G287="channeling",G287="infusing"),"Magical",IF(G287="blocking","Anti-Physical",IF(G287="warding","Anti-Magical","Physical"))))</f>
        <v/>
      </c>
      <c r="O287">
        <f>IF(F287&lt;&gt;"armor","","TBD")</f>
        <v/>
      </c>
      <c r="P287">
        <f>IF(O287="","",IF(OR(G287="channeling",G287="infusing"),"Magical",IF(G287="blocking","Anti-Physical",IF(G287="warding","Anti-Magical","Physical"))))</f>
        <v/>
      </c>
    </row>
    <row r="288">
      <c r="J288">
        <f>IF(G288="","",IFERROR(IF(G288="infusing",IFERROR(LOOKUP(2,1/ISNUMBER(SEARCH(_lookup!$D$3:$D$4,H288)),_lookup!$E$3:$E$4),"INT"),VLOOKUP(G288,_lookup!$A$3:$B$14,2,FALSE)),""))</f>
        <v/>
      </c>
      <c r="K288">
        <f>IF(F288&lt;&gt;"weapon","",IF(G288="miscellaneous","1-4",IF(I288="","",IFERROR(VLOOKUP(I288&amp;"|"&amp;IF(LEFT(H288,2)="2H",2,1)&amp;"|"&amp;IF(G288="slashing",1,0),_lookup!$G$3:$H$18,2,FALSE),""))))</f>
        <v/>
      </c>
      <c r="L288">
        <f>IF(K288="","",IF(OR(G288="channeling",G288="infusing"),"Magical",IF(G288="blocking","Anti-Physical",IF(G288="warding","Anti-Magical","Physical"))))</f>
        <v/>
      </c>
      <c r="O288">
        <f>IF(F288&lt;&gt;"armor","","TBD")</f>
        <v/>
      </c>
      <c r="P288">
        <f>IF(O288="","",IF(OR(G288="channeling",G288="infusing"),"Magical",IF(G288="blocking","Anti-Physical",IF(G288="warding","Anti-Magical","Physical"))))</f>
        <v/>
      </c>
    </row>
    <row r="289">
      <c r="J289">
        <f>IF(G289="","",IFERROR(IF(G289="infusing",IFERROR(LOOKUP(2,1/ISNUMBER(SEARCH(_lookup!$D$3:$D$4,H289)),_lookup!$E$3:$E$4),"INT"),VLOOKUP(G289,_lookup!$A$3:$B$14,2,FALSE)),""))</f>
        <v/>
      </c>
      <c r="K289">
        <f>IF(F289&lt;&gt;"weapon","",IF(G289="miscellaneous","1-4",IF(I289="","",IFERROR(VLOOKUP(I289&amp;"|"&amp;IF(LEFT(H289,2)="2H",2,1)&amp;"|"&amp;IF(G289="slashing",1,0),_lookup!$G$3:$H$18,2,FALSE),""))))</f>
        <v/>
      </c>
      <c r="L289">
        <f>IF(K289="","",IF(OR(G289="channeling",G289="infusing"),"Magical",IF(G289="blocking","Anti-Physical",IF(G289="warding","Anti-Magical","Physical"))))</f>
        <v/>
      </c>
      <c r="O289">
        <f>IF(F289&lt;&gt;"armor","","TBD")</f>
        <v/>
      </c>
      <c r="P289">
        <f>IF(O289="","",IF(OR(G289="channeling",G289="infusing"),"Magical",IF(G289="blocking","Anti-Physical",IF(G289="warding","Anti-Magical","Physical"))))</f>
        <v/>
      </c>
    </row>
    <row r="290">
      <c r="J290">
        <f>IF(G290="","",IFERROR(IF(G290="infusing",IFERROR(LOOKUP(2,1/ISNUMBER(SEARCH(_lookup!$D$3:$D$4,H290)),_lookup!$E$3:$E$4),"INT"),VLOOKUP(G290,_lookup!$A$3:$B$14,2,FALSE)),""))</f>
        <v/>
      </c>
      <c r="K290">
        <f>IF(F290&lt;&gt;"weapon","",IF(G290="miscellaneous","1-4",IF(I290="","",IFERROR(VLOOKUP(I290&amp;"|"&amp;IF(LEFT(H290,2)="2H",2,1)&amp;"|"&amp;IF(G290="slashing",1,0),_lookup!$G$3:$H$18,2,FALSE),""))))</f>
        <v/>
      </c>
      <c r="L290">
        <f>IF(K290="","",IF(OR(G290="channeling",G290="infusing"),"Magical",IF(G290="blocking","Anti-Physical",IF(G290="warding","Anti-Magical","Physical"))))</f>
        <v/>
      </c>
      <c r="O290">
        <f>IF(F290&lt;&gt;"armor","","TBD")</f>
        <v/>
      </c>
      <c r="P290">
        <f>IF(O290="","",IF(OR(G290="channeling",G290="infusing"),"Magical",IF(G290="blocking","Anti-Physical",IF(G290="warding","Anti-Magical","Physical"))))</f>
        <v/>
      </c>
    </row>
    <row r="291">
      <c r="J291">
        <f>IF(G291="","",IFERROR(IF(G291="infusing",IFERROR(LOOKUP(2,1/ISNUMBER(SEARCH(_lookup!$D$3:$D$4,H291)),_lookup!$E$3:$E$4),"INT"),VLOOKUP(G291,_lookup!$A$3:$B$14,2,FALSE)),""))</f>
        <v/>
      </c>
      <c r="K291">
        <f>IF(F291&lt;&gt;"weapon","",IF(G291="miscellaneous","1-4",IF(I291="","",IFERROR(VLOOKUP(I291&amp;"|"&amp;IF(LEFT(H291,2)="2H",2,1)&amp;"|"&amp;IF(G291="slashing",1,0),_lookup!$G$3:$H$18,2,FALSE),""))))</f>
        <v/>
      </c>
      <c r="L291">
        <f>IF(K291="","",IF(OR(G291="channeling",G291="infusing"),"Magical",IF(G291="blocking","Anti-Physical",IF(G291="warding","Anti-Magical","Physical"))))</f>
        <v/>
      </c>
      <c r="O291">
        <f>IF(F291&lt;&gt;"armor","","TBD")</f>
        <v/>
      </c>
      <c r="P291">
        <f>IF(O291="","",IF(OR(G291="channeling",G291="infusing"),"Magical",IF(G291="blocking","Anti-Physical",IF(G291="warding","Anti-Magical","Physical"))))</f>
        <v/>
      </c>
    </row>
    <row r="292">
      <c r="J292">
        <f>IF(G292="","",IFERROR(IF(G292="infusing",IFERROR(LOOKUP(2,1/ISNUMBER(SEARCH(_lookup!$D$3:$D$4,H292)),_lookup!$E$3:$E$4),"INT"),VLOOKUP(G292,_lookup!$A$3:$B$14,2,FALSE)),""))</f>
        <v/>
      </c>
      <c r="K292">
        <f>IF(F292&lt;&gt;"weapon","",IF(G292="miscellaneous","1-4",IF(I292="","",IFERROR(VLOOKUP(I292&amp;"|"&amp;IF(LEFT(H292,2)="2H",2,1)&amp;"|"&amp;IF(G292="slashing",1,0),_lookup!$G$3:$H$18,2,FALSE),""))))</f>
        <v/>
      </c>
      <c r="L292">
        <f>IF(K292="","",IF(OR(G292="channeling",G292="infusing"),"Magical",IF(G292="blocking","Anti-Physical",IF(G292="warding","Anti-Magical","Physical"))))</f>
        <v/>
      </c>
      <c r="O292">
        <f>IF(F292&lt;&gt;"armor","","TBD")</f>
        <v/>
      </c>
      <c r="P292">
        <f>IF(O292="","",IF(OR(G292="channeling",G292="infusing"),"Magical",IF(G292="blocking","Anti-Physical",IF(G292="warding","Anti-Magical","Physical"))))</f>
        <v/>
      </c>
    </row>
    <row r="293">
      <c r="J293">
        <f>IF(G293="","",IFERROR(IF(G293="infusing",IFERROR(LOOKUP(2,1/ISNUMBER(SEARCH(_lookup!$D$3:$D$4,H293)),_lookup!$E$3:$E$4),"INT"),VLOOKUP(G293,_lookup!$A$3:$B$14,2,FALSE)),""))</f>
        <v/>
      </c>
      <c r="K293">
        <f>IF(F293&lt;&gt;"weapon","",IF(G293="miscellaneous","1-4",IF(I293="","",IFERROR(VLOOKUP(I293&amp;"|"&amp;IF(LEFT(H293,2)="2H",2,1)&amp;"|"&amp;IF(G293="slashing",1,0),_lookup!$G$3:$H$18,2,FALSE),""))))</f>
        <v/>
      </c>
      <c r="L293">
        <f>IF(K293="","",IF(OR(G293="channeling",G293="infusing"),"Magical",IF(G293="blocking","Anti-Physical",IF(G293="warding","Anti-Magical","Physical"))))</f>
        <v/>
      </c>
      <c r="O293">
        <f>IF(F293&lt;&gt;"armor","","TBD")</f>
        <v/>
      </c>
      <c r="P293">
        <f>IF(O293="","",IF(OR(G293="channeling",G293="infusing"),"Magical",IF(G293="blocking","Anti-Physical",IF(G293="warding","Anti-Magical","Physical"))))</f>
        <v/>
      </c>
    </row>
    <row r="294">
      <c r="J294">
        <f>IF(G294="","",IFERROR(IF(G294="infusing",IFERROR(LOOKUP(2,1/ISNUMBER(SEARCH(_lookup!$D$3:$D$4,H294)),_lookup!$E$3:$E$4),"INT"),VLOOKUP(G294,_lookup!$A$3:$B$14,2,FALSE)),""))</f>
        <v/>
      </c>
      <c r="K294">
        <f>IF(F294&lt;&gt;"weapon","",IF(G294="miscellaneous","1-4",IF(I294="","",IFERROR(VLOOKUP(I294&amp;"|"&amp;IF(LEFT(H294,2)="2H",2,1)&amp;"|"&amp;IF(G294="slashing",1,0),_lookup!$G$3:$H$18,2,FALSE),""))))</f>
        <v/>
      </c>
      <c r="L294">
        <f>IF(K294="","",IF(OR(G294="channeling",G294="infusing"),"Magical",IF(G294="blocking","Anti-Physical",IF(G294="warding","Anti-Magical","Physical"))))</f>
        <v/>
      </c>
      <c r="O294">
        <f>IF(F294&lt;&gt;"armor","","TBD")</f>
        <v/>
      </c>
      <c r="P294">
        <f>IF(O294="","",IF(OR(G294="channeling",G294="infusing"),"Magical",IF(G294="blocking","Anti-Physical",IF(G294="warding","Anti-Magical","Physical"))))</f>
        <v/>
      </c>
    </row>
    <row r="295">
      <c r="J295">
        <f>IF(G295="","",IFERROR(IF(G295="infusing",IFERROR(LOOKUP(2,1/ISNUMBER(SEARCH(_lookup!$D$3:$D$4,H295)),_lookup!$E$3:$E$4),"INT"),VLOOKUP(G295,_lookup!$A$3:$B$14,2,FALSE)),""))</f>
        <v/>
      </c>
      <c r="K295">
        <f>IF(F295&lt;&gt;"weapon","",IF(G295="miscellaneous","1-4",IF(I295="","",IFERROR(VLOOKUP(I295&amp;"|"&amp;IF(LEFT(H295,2)="2H",2,1)&amp;"|"&amp;IF(G295="slashing",1,0),_lookup!$G$3:$H$18,2,FALSE),""))))</f>
        <v/>
      </c>
      <c r="L295">
        <f>IF(K295="","",IF(OR(G295="channeling",G295="infusing"),"Magical",IF(G295="blocking","Anti-Physical",IF(G295="warding","Anti-Magical","Physical"))))</f>
        <v/>
      </c>
      <c r="O295">
        <f>IF(F295&lt;&gt;"armor","","TBD")</f>
        <v/>
      </c>
      <c r="P295">
        <f>IF(O295="","",IF(OR(G295="channeling",G295="infusing"),"Magical",IF(G295="blocking","Anti-Physical",IF(G295="warding","Anti-Magical","Physical"))))</f>
        <v/>
      </c>
    </row>
    <row r="296">
      <c r="J296">
        <f>IF(G296="","",IFERROR(IF(G296="infusing",IFERROR(LOOKUP(2,1/ISNUMBER(SEARCH(_lookup!$D$3:$D$4,H296)),_lookup!$E$3:$E$4),"INT"),VLOOKUP(G296,_lookup!$A$3:$B$14,2,FALSE)),""))</f>
        <v/>
      </c>
      <c r="K296">
        <f>IF(F296&lt;&gt;"weapon","",IF(G296="miscellaneous","1-4",IF(I296="","",IFERROR(VLOOKUP(I296&amp;"|"&amp;IF(LEFT(H296,2)="2H",2,1)&amp;"|"&amp;IF(G296="slashing",1,0),_lookup!$G$3:$H$18,2,FALSE),""))))</f>
        <v/>
      </c>
      <c r="L296">
        <f>IF(K296="","",IF(OR(G296="channeling",G296="infusing"),"Magical",IF(G296="blocking","Anti-Physical",IF(G296="warding","Anti-Magical","Physical"))))</f>
        <v/>
      </c>
      <c r="O296">
        <f>IF(F296&lt;&gt;"armor","","TBD")</f>
        <v/>
      </c>
      <c r="P296">
        <f>IF(O296="","",IF(OR(G296="channeling",G296="infusing"),"Magical",IF(G296="blocking","Anti-Physical",IF(G296="warding","Anti-Magical","Physical"))))</f>
        <v/>
      </c>
    </row>
    <row r="297">
      <c r="J297">
        <f>IF(G297="","",IFERROR(IF(G297="infusing",IFERROR(LOOKUP(2,1/ISNUMBER(SEARCH(_lookup!$D$3:$D$4,H297)),_lookup!$E$3:$E$4),"INT"),VLOOKUP(G297,_lookup!$A$3:$B$14,2,FALSE)),""))</f>
        <v/>
      </c>
      <c r="K297">
        <f>IF(F297&lt;&gt;"weapon","",IF(G297="miscellaneous","1-4",IF(I297="","",IFERROR(VLOOKUP(I297&amp;"|"&amp;IF(LEFT(H297,2)="2H",2,1)&amp;"|"&amp;IF(G297="slashing",1,0),_lookup!$G$3:$H$18,2,FALSE),""))))</f>
        <v/>
      </c>
      <c r="L297">
        <f>IF(K297="","",IF(OR(G297="channeling",G297="infusing"),"Magical",IF(G297="blocking","Anti-Physical",IF(G297="warding","Anti-Magical","Physical"))))</f>
        <v/>
      </c>
      <c r="O297">
        <f>IF(F297&lt;&gt;"armor","","TBD")</f>
        <v/>
      </c>
      <c r="P297">
        <f>IF(O297="","",IF(OR(G297="channeling",G297="infusing"),"Magical",IF(G297="blocking","Anti-Physical",IF(G297="warding","Anti-Magical","Physical"))))</f>
        <v/>
      </c>
    </row>
    <row r="298">
      <c r="J298">
        <f>IF(G298="","",IFERROR(IF(G298="infusing",IFERROR(LOOKUP(2,1/ISNUMBER(SEARCH(_lookup!$D$3:$D$4,H298)),_lookup!$E$3:$E$4),"INT"),VLOOKUP(G298,_lookup!$A$3:$B$14,2,FALSE)),""))</f>
        <v/>
      </c>
      <c r="K298">
        <f>IF(F298&lt;&gt;"weapon","",IF(G298="miscellaneous","1-4",IF(I298="","",IFERROR(VLOOKUP(I298&amp;"|"&amp;IF(LEFT(H298,2)="2H",2,1)&amp;"|"&amp;IF(G298="slashing",1,0),_lookup!$G$3:$H$18,2,FALSE),""))))</f>
        <v/>
      </c>
      <c r="L298">
        <f>IF(K298="","",IF(OR(G298="channeling",G298="infusing"),"Magical",IF(G298="blocking","Anti-Physical",IF(G298="warding","Anti-Magical","Physical"))))</f>
        <v/>
      </c>
      <c r="O298">
        <f>IF(F298&lt;&gt;"armor","","TBD")</f>
        <v/>
      </c>
      <c r="P298">
        <f>IF(O298="","",IF(OR(G298="channeling",G298="infusing"),"Magical",IF(G298="blocking","Anti-Physical",IF(G298="warding","Anti-Magical","Physical"))))</f>
        <v/>
      </c>
    </row>
    <row r="299">
      <c r="J299">
        <f>IF(G299="","",IFERROR(IF(G299="infusing",IFERROR(LOOKUP(2,1/ISNUMBER(SEARCH(_lookup!$D$3:$D$4,H299)),_lookup!$E$3:$E$4),"INT"),VLOOKUP(G299,_lookup!$A$3:$B$14,2,FALSE)),""))</f>
        <v/>
      </c>
      <c r="K299">
        <f>IF(F299&lt;&gt;"weapon","",IF(G299="miscellaneous","1-4",IF(I299="","",IFERROR(VLOOKUP(I299&amp;"|"&amp;IF(LEFT(H299,2)="2H",2,1)&amp;"|"&amp;IF(G299="slashing",1,0),_lookup!$G$3:$H$18,2,FALSE),""))))</f>
        <v/>
      </c>
      <c r="L299">
        <f>IF(K299="","",IF(OR(G299="channeling",G299="infusing"),"Magical",IF(G299="blocking","Anti-Physical",IF(G299="warding","Anti-Magical","Physical"))))</f>
        <v/>
      </c>
      <c r="O299">
        <f>IF(F299&lt;&gt;"armor","","TBD")</f>
        <v/>
      </c>
      <c r="P299">
        <f>IF(O299="","",IF(OR(G299="channeling",G299="infusing"),"Magical",IF(G299="blocking","Anti-Physical",IF(G299="warding","Anti-Magical","Physical"))))</f>
        <v/>
      </c>
    </row>
    <row r="300">
      <c r="J300">
        <f>IF(G300="","",IFERROR(IF(G300="infusing",IFERROR(LOOKUP(2,1/ISNUMBER(SEARCH(_lookup!$D$3:$D$4,H300)),_lookup!$E$3:$E$4),"INT"),VLOOKUP(G300,_lookup!$A$3:$B$14,2,FALSE)),""))</f>
        <v/>
      </c>
      <c r="K300">
        <f>IF(F300&lt;&gt;"weapon","",IF(G300="miscellaneous","1-4",IF(I300="","",IFERROR(VLOOKUP(I300&amp;"|"&amp;IF(LEFT(H300,2)="2H",2,1)&amp;"|"&amp;IF(G300="slashing",1,0),_lookup!$G$3:$H$18,2,FALSE),""))))</f>
        <v/>
      </c>
      <c r="L300">
        <f>IF(K300="","",IF(OR(G300="channeling",G300="infusing"),"Magical",IF(G300="blocking","Anti-Physical",IF(G300="warding","Anti-Magical","Physical"))))</f>
        <v/>
      </c>
      <c r="O300">
        <f>IF(F300&lt;&gt;"armor","","TBD")</f>
        <v/>
      </c>
      <c r="P300">
        <f>IF(O300="","",IF(OR(G300="channeling",G300="infusing"),"Magical",IF(G300="blocking","Anti-Physical",IF(G300="warding","Anti-Magical","Physical"))))</f>
        <v/>
      </c>
    </row>
    <row r="301">
      <c r="J301">
        <f>IF(G301="","",IFERROR(IF(G301="infusing",IFERROR(LOOKUP(2,1/ISNUMBER(SEARCH(_lookup!$D$3:$D$4,H301)),_lookup!$E$3:$E$4),"INT"),VLOOKUP(G301,_lookup!$A$3:$B$14,2,FALSE)),""))</f>
        <v/>
      </c>
      <c r="K301">
        <f>IF(F301&lt;&gt;"weapon","",IF(G301="miscellaneous","1-4",IF(I301="","",IFERROR(VLOOKUP(I301&amp;"|"&amp;IF(LEFT(H301,2)="2H",2,1)&amp;"|"&amp;IF(G301="slashing",1,0),_lookup!$G$3:$H$18,2,FALSE),""))))</f>
        <v/>
      </c>
      <c r="L301">
        <f>IF(K301="","",IF(OR(G301="channeling",G301="infusing"),"Magical",IF(G301="blocking","Anti-Physical",IF(G301="warding","Anti-Magical","Physical"))))</f>
        <v/>
      </c>
      <c r="O301">
        <f>IF(F301&lt;&gt;"armor","","TBD")</f>
        <v/>
      </c>
      <c r="P301">
        <f>IF(O301="","",IF(OR(G301="channeling",G301="infusing"),"Magical",IF(G301="blocking","Anti-Physical",IF(G301="warding","Anti-Magical","Physical"))))</f>
        <v/>
      </c>
    </row>
    <row r="302">
      <c r="J302">
        <f>IF(G302="","",IFERROR(IF(G302="infusing",IFERROR(LOOKUP(2,1/ISNUMBER(SEARCH(_lookup!$D$3:$D$4,H302)),_lookup!$E$3:$E$4),"INT"),VLOOKUP(G302,_lookup!$A$3:$B$14,2,FALSE)),""))</f>
        <v/>
      </c>
      <c r="K302">
        <f>IF(F302&lt;&gt;"weapon","",IF(G302="miscellaneous","1-4",IF(I302="","",IFERROR(VLOOKUP(I302&amp;"|"&amp;IF(LEFT(H302,2)="2H",2,1)&amp;"|"&amp;IF(G302="slashing",1,0),_lookup!$G$3:$H$18,2,FALSE),""))))</f>
        <v/>
      </c>
      <c r="L302">
        <f>IF(K302="","",IF(OR(G302="channeling",G302="infusing"),"Magical",IF(G302="blocking","Anti-Physical",IF(G302="warding","Anti-Magical","Physical"))))</f>
        <v/>
      </c>
      <c r="O302">
        <f>IF(F302&lt;&gt;"armor","","TBD")</f>
        <v/>
      </c>
      <c r="P302">
        <f>IF(O302="","",IF(OR(G302="channeling",G302="infusing"),"Magical",IF(G302="blocking","Anti-Physical",IF(G302="warding","Anti-Magical","Physical"))))</f>
        <v/>
      </c>
    </row>
    <row r="303">
      <c r="J303">
        <f>IF(G303="","",IFERROR(IF(G303="infusing",IFERROR(LOOKUP(2,1/ISNUMBER(SEARCH(_lookup!$D$3:$D$4,H303)),_lookup!$E$3:$E$4),"INT"),VLOOKUP(G303,_lookup!$A$3:$B$14,2,FALSE)),""))</f>
        <v/>
      </c>
      <c r="K303">
        <f>IF(F303&lt;&gt;"weapon","",IF(G303="miscellaneous","1-4",IF(I303="","",IFERROR(VLOOKUP(I303&amp;"|"&amp;IF(LEFT(H303,2)="2H",2,1)&amp;"|"&amp;IF(G303="slashing",1,0),_lookup!$G$3:$H$18,2,FALSE),""))))</f>
        <v/>
      </c>
      <c r="L303">
        <f>IF(K303="","",IF(OR(G303="channeling",G303="infusing"),"Magical",IF(G303="blocking","Anti-Physical",IF(G303="warding","Anti-Magical","Physical"))))</f>
        <v/>
      </c>
      <c r="O303">
        <f>IF(F303&lt;&gt;"armor","","TBD")</f>
        <v/>
      </c>
      <c r="P303">
        <f>IF(O303="","",IF(OR(G303="channeling",G303="infusing"),"Magical",IF(G303="blocking","Anti-Physical",IF(G303="warding","Anti-Magical","Physical"))))</f>
        <v/>
      </c>
    </row>
    <row r="304">
      <c r="J304">
        <f>IF(G304="","",IFERROR(IF(G304="infusing",IFERROR(LOOKUP(2,1/ISNUMBER(SEARCH(_lookup!$D$3:$D$4,H304)),_lookup!$E$3:$E$4),"INT"),VLOOKUP(G304,_lookup!$A$3:$B$14,2,FALSE)),""))</f>
        <v/>
      </c>
      <c r="K304">
        <f>IF(F304&lt;&gt;"weapon","",IF(G304="miscellaneous","1-4",IF(I304="","",IFERROR(VLOOKUP(I304&amp;"|"&amp;IF(LEFT(H304,2)="2H",2,1)&amp;"|"&amp;IF(G304="slashing",1,0),_lookup!$G$3:$H$18,2,FALSE),""))))</f>
        <v/>
      </c>
      <c r="L304">
        <f>IF(K304="","",IF(OR(G304="channeling",G304="infusing"),"Magical",IF(G304="blocking","Anti-Physical",IF(G304="warding","Anti-Magical","Physical"))))</f>
        <v/>
      </c>
      <c r="O304">
        <f>IF(F304&lt;&gt;"armor","","TBD")</f>
        <v/>
      </c>
      <c r="P304">
        <f>IF(O304="","",IF(OR(G304="channeling",G304="infusing"),"Magical",IF(G304="blocking","Anti-Physical",IF(G304="warding","Anti-Magical","Physical"))))</f>
        <v/>
      </c>
    </row>
    <row r="305">
      <c r="J305">
        <f>IF(G305="","",IFERROR(IF(G305="infusing",IFERROR(LOOKUP(2,1/ISNUMBER(SEARCH(_lookup!$D$3:$D$4,H305)),_lookup!$E$3:$E$4),"INT"),VLOOKUP(G305,_lookup!$A$3:$B$14,2,FALSE)),""))</f>
        <v/>
      </c>
      <c r="K305">
        <f>IF(F305&lt;&gt;"weapon","",IF(G305="miscellaneous","1-4",IF(I305="","",IFERROR(VLOOKUP(I305&amp;"|"&amp;IF(LEFT(H305,2)="2H",2,1)&amp;"|"&amp;IF(G305="slashing",1,0),_lookup!$G$3:$H$18,2,FALSE),""))))</f>
        <v/>
      </c>
      <c r="L305">
        <f>IF(K305="","",IF(OR(G305="channeling",G305="infusing"),"Magical",IF(G305="blocking","Anti-Physical",IF(G305="warding","Anti-Magical","Physical"))))</f>
        <v/>
      </c>
      <c r="O305">
        <f>IF(F305&lt;&gt;"armor","","TBD")</f>
        <v/>
      </c>
      <c r="P305">
        <f>IF(O305="","",IF(OR(G305="channeling",G305="infusing"),"Magical",IF(G305="blocking","Anti-Physical",IF(G305="warding","Anti-Magical","Physical"))))</f>
        <v/>
      </c>
    </row>
    <row r="306">
      <c r="J306">
        <f>IF(G306="","",IFERROR(IF(G306="infusing",IFERROR(LOOKUP(2,1/ISNUMBER(SEARCH(_lookup!$D$3:$D$4,H306)),_lookup!$E$3:$E$4),"INT"),VLOOKUP(G306,_lookup!$A$3:$B$14,2,FALSE)),""))</f>
        <v/>
      </c>
      <c r="K306">
        <f>IF(F306&lt;&gt;"weapon","",IF(G306="miscellaneous","1-4",IF(I306="","",IFERROR(VLOOKUP(I306&amp;"|"&amp;IF(LEFT(H306,2)="2H",2,1)&amp;"|"&amp;IF(G306="slashing",1,0),_lookup!$G$3:$H$18,2,FALSE),""))))</f>
        <v/>
      </c>
      <c r="L306">
        <f>IF(K306="","",IF(OR(G306="channeling",G306="infusing"),"Magical",IF(G306="blocking","Anti-Physical",IF(G306="warding","Anti-Magical","Physical"))))</f>
        <v/>
      </c>
      <c r="O306">
        <f>IF(F306&lt;&gt;"armor","","TBD")</f>
        <v/>
      </c>
      <c r="P306">
        <f>IF(O306="","",IF(OR(G306="channeling",G306="infusing"),"Magical",IF(G306="blocking","Anti-Physical",IF(G306="warding","Anti-Magical","Physical"))))</f>
        <v/>
      </c>
    </row>
    <row r="307">
      <c r="J307">
        <f>IF(G307="","",IFERROR(IF(G307="infusing",IFERROR(LOOKUP(2,1/ISNUMBER(SEARCH(_lookup!$D$3:$D$4,H307)),_lookup!$E$3:$E$4),"INT"),VLOOKUP(G307,_lookup!$A$3:$B$14,2,FALSE)),""))</f>
        <v/>
      </c>
      <c r="K307">
        <f>IF(F307&lt;&gt;"weapon","",IF(G307="miscellaneous","1-4",IF(I307="","",IFERROR(VLOOKUP(I307&amp;"|"&amp;IF(LEFT(H307,2)="2H",2,1)&amp;"|"&amp;IF(G307="slashing",1,0),_lookup!$G$3:$H$18,2,FALSE),""))))</f>
        <v/>
      </c>
      <c r="L307">
        <f>IF(K307="","",IF(OR(G307="channeling",G307="infusing"),"Magical",IF(G307="blocking","Anti-Physical",IF(G307="warding","Anti-Magical","Physical"))))</f>
        <v/>
      </c>
      <c r="O307">
        <f>IF(F307&lt;&gt;"armor","","TBD")</f>
        <v/>
      </c>
      <c r="P307">
        <f>IF(O307="","",IF(OR(G307="channeling",G307="infusing"),"Magical",IF(G307="blocking","Anti-Physical",IF(G307="warding","Anti-Magical","Physical"))))</f>
        <v/>
      </c>
    </row>
    <row r="308">
      <c r="J308">
        <f>IF(G308="","",IFERROR(IF(G308="infusing",IFERROR(LOOKUP(2,1/ISNUMBER(SEARCH(_lookup!$D$3:$D$4,H308)),_lookup!$E$3:$E$4),"INT"),VLOOKUP(G308,_lookup!$A$3:$B$14,2,FALSE)),""))</f>
        <v/>
      </c>
      <c r="K308">
        <f>IF(F308&lt;&gt;"weapon","",IF(G308="miscellaneous","1-4",IF(I308="","",IFERROR(VLOOKUP(I308&amp;"|"&amp;IF(LEFT(H308,2)="2H",2,1)&amp;"|"&amp;IF(G308="slashing",1,0),_lookup!$G$3:$H$18,2,FALSE),""))))</f>
        <v/>
      </c>
      <c r="L308">
        <f>IF(K308="","",IF(OR(G308="channeling",G308="infusing"),"Magical",IF(G308="blocking","Anti-Physical",IF(G308="warding","Anti-Magical","Physical"))))</f>
        <v/>
      </c>
      <c r="O308">
        <f>IF(F308&lt;&gt;"armor","","TBD")</f>
        <v/>
      </c>
      <c r="P308">
        <f>IF(O308="","",IF(OR(G308="channeling",G308="infusing"),"Magical",IF(G308="blocking","Anti-Physical",IF(G308="warding","Anti-Magical","Physical"))))</f>
        <v/>
      </c>
    </row>
    <row r="309">
      <c r="J309">
        <f>IF(G309="","",IFERROR(IF(G309="infusing",IFERROR(LOOKUP(2,1/ISNUMBER(SEARCH(_lookup!$D$3:$D$4,H309)),_lookup!$E$3:$E$4),"INT"),VLOOKUP(G309,_lookup!$A$3:$B$14,2,FALSE)),""))</f>
        <v/>
      </c>
      <c r="K309">
        <f>IF(F309&lt;&gt;"weapon","",IF(G309="miscellaneous","1-4",IF(I309="","",IFERROR(VLOOKUP(I309&amp;"|"&amp;IF(LEFT(H309,2)="2H",2,1)&amp;"|"&amp;IF(G309="slashing",1,0),_lookup!$G$3:$H$18,2,FALSE),""))))</f>
        <v/>
      </c>
      <c r="L309">
        <f>IF(K309="","",IF(OR(G309="channeling",G309="infusing"),"Magical",IF(G309="blocking","Anti-Physical",IF(G309="warding","Anti-Magical","Physical"))))</f>
        <v/>
      </c>
      <c r="O309">
        <f>IF(F309&lt;&gt;"armor","","TBD")</f>
        <v/>
      </c>
      <c r="P309">
        <f>IF(O309="","",IF(OR(G309="channeling",G309="infusing"),"Magical",IF(G309="blocking","Anti-Physical",IF(G309="warding","Anti-Magical","Physical"))))</f>
        <v/>
      </c>
    </row>
    <row r="310">
      <c r="J310">
        <f>IF(G310="","",IFERROR(IF(G310="infusing",IFERROR(LOOKUP(2,1/ISNUMBER(SEARCH(_lookup!$D$3:$D$4,H310)),_lookup!$E$3:$E$4),"INT"),VLOOKUP(G310,_lookup!$A$3:$B$14,2,FALSE)),""))</f>
        <v/>
      </c>
      <c r="K310">
        <f>IF(F310&lt;&gt;"weapon","",IF(G310="miscellaneous","1-4",IF(I310="","",IFERROR(VLOOKUP(I310&amp;"|"&amp;IF(LEFT(H310,2)="2H",2,1)&amp;"|"&amp;IF(G310="slashing",1,0),_lookup!$G$3:$H$18,2,FALSE),""))))</f>
        <v/>
      </c>
      <c r="L310">
        <f>IF(K310="","",IF(OR(G310="channeling",G310="infusing"),"Magical",IF(G310="blocking","Anti-Physical",IF(G310="warding","Anti-Magical","Physical"))))</f>
        <v/>
      </c>
      <c r="O310">
        <f>IF(F310&lt;&gt;"armor","","TBD")</f>
        <v/>
      </c>
      <c r="P310">
        <f>IF(O310="","",IF(OR(G310="channeling",G310="infusing"),"Magical",IF(G310="blocking","Anti-Physical",IF(G310="warding","Anti-Magical","Physical"))))</f>
        <v/>
      </c>
    </row>
    <row r="311">
      <c r="J311">
        <f>IF(G311="","",IFERROR(IF(G311="infusing",IFERROR(LOOKUP(2,1/ISNUMBER(SEARCH(_lookup!$D$3:$D$4,H311)),_lookup!$E$3:$E$4),"INT"),VLOOKUP(G311,_lookup!$A$3:$B$14,2,FALSE)),""))</f>
        <v/>
      </c>
      <c r="K311">
        <f>IF(F311&lt;&gt;"weapon","",IF(G311="miscellaneous","1-4",IF(I311="","",IFERROR(VLOOKUP(I311&amp;"|"&amp;IF(LEFT(H311,2)="2H",2,1)&amp;"|"&amp;IF(G311="slashing",1,0),_lookup!$G$3:$H$18,2,FALSE),""))))</f>
        <v/>
      </c>
      <c r="L311">
        <f>IF(K311="","",IF(OR(G311="channeling",G311="infusing"),"Magical",IF(G311="blocking","Anti-Physical",IF(G311="warding","Anti-Magical","Physical"))))</f>
        <v/>
      </c>
      <c r="O311">
        <f>IF(F311&lt;&gt;"armor","","TBD")</f>
        <v/>
      </c>
      <c r="P311">
        <f>IF(O311="","",IF(OR(G311="channeling",G311="infusing"),"Magical",IF(G311="blocking","Anti-Physical",IF(G311="warding","Anti-Magical","Physical"))))</f>
        <v/>
      </c>
    </row>
    <row r="312">
      <c r="J312">
        <f>IF(G312="","",IFERROR(IF(G312="infusing",IFERROR(LOOKUP(2,1/ISNUMBER(SEARCH(_lookup!$D$3:$D$4,H312)),_lookup!$E$3:$E$4),"INT"),VLOOKUP(G312,_lookup!$A$3:$B$14,2,FALSE)),""))</f>
        <v/>
      </c>
      <c r="K312">
        <f>IF(F312&lt;&gt;"weapon","",IF(G312="miscellaneous","1-4",IF(I312="","",IFERROR(VLOOKUP(I312&amp;"|"&amp;IF(LEFT(H312,2)="2H",2,1)&amp;"|"&amp;IF(G312="slashing",1,0),_lookup!$G$3:$H$18,2,FALSE),""))))</f>
        <v/>
      </c>
      <c r="L312">
        <f>IF(K312="","",IF(OR(G312="channeling",G312="infusing"),"Magical",IF(G312="blocking","Anti-Physical",IF(G312="warding","Anti-Magical","Physical"))))</f>
        <v/>
      </c>
      <c r="O312">
        <f>IF(F312&lt;&gt;"armor","","TBD")</f>
        <v/>
      </c>
      <c r="P312">
        <f>IF(O312="","",IF(OR(G312="channeling",G312="infusing"),"Magical",IF(G312="blocking","Anti-Physical",IF(G312="warding","Anti-Magical","Physical"))))</f>
        <v/>
      </c>
    </row>
    <row r="313">
      <c r="J313">
        <f>IF(G313="","",IFERROR(IF(G313="infusing",IFERROR(LOOKUP(2,1/ISNUMBER(SEARCH(_lookup!$D$3:$D$4,H313)),_lookup!$E$3:$E$4),"INT"),VLOOKUP(G313,_lookup!$A$3:$B$14,2,FALSE)),""))</f>
        <v/>
      </c>
      <c r="K313">
        <f>IF(F313&lt;&gt;"weapon","",IF(G313="miscellaneous","1-4",IF(I313="","",IFERROR(VLOOKUP(I313&amp;"|"&amp;IF(LEFT(H313,2)="2H",2,1)&amp;"|"&amp;IF(G313="slashing",1,0),_lookup!$G$3:$H$18,2,FALSE),""))))</f>
        <v/>
      </c>
      <c r="L313">
        <f>IF(K313="","",IF(OR(G313="channeling",G313="infusing"),"Magical",IF(G313="blocking","Anti-Physical",IF(G313="warding","Anti-Magical","Physical"))))</f>
        <v/>
      </c>
      <c r="O313">
        <f>IF(F313&lt;&gt;"armor","","TBD")</f>
        <v/>
      </c>
      <c r="P313">
        <f>IF(O313="","",IF(OR(G313="channeling",G313="infusing"),"Magical",IF(G313="blocking","Anti-Physical",IF(G313="warding","Anti-Magical","Physical"))))</f>
        <v/>
      </c>
    </row>
    <row r="314">
      <c r="J314">
        <f>IF(G314="","",IFERROR(IF(G314="infusing",IFERROR(LOOKUP(2,1/ISNUMBER(SEARCH(_lookup!$D$3:$D$4,H314)),_lookup!$E$3:$E$4),"INT"),VLOOKUP(G314,_lookup!$A$3:$B$14,2,FALSE)),""))</f>
        <v/>
      </c>
      <c r="K314">
        <f>IF(F314&lt;&gt;"weapon","",IF(G314="miscellaneous","1-4",IF(I314="","",IFERROR(VLOOKUP(I314&amp;"|"&amp;IF(LEFT(H314,2)="2H",2,1)&amp;"|"&amp;IF(G314="slashing",1,0),_lookup!$G$3:$H$18,2,FALSE),""))))</f>
        <v/>
      </c>
      <c r="L314">
        <f>IF(K314="","",IF(OR(G314="channeling",G314="infusing"),"Magical",IF(G314="blocking","Anti-Physical",IF(G314="warding","Anti-Magical","Physical"))))</f>
        <v/>
      </c>
      <c r="O314">
        <f>IF(F314&lt;&gt;"armor","","TBD")</f>
        <v/>
      </c>
      <c r="P314">
        <f>IF(O314="","",IF(OR(G314="channeling",G314="infusing"),"Magical",IF(G314="blocking","Anti-Physical",IF(G314="warding","Anti-Magical","Physical"))))</f>
        <v/>
      </c>
    </row>
    <row r="315">
      <c r="J315">
        <f>IF(G315="","",IFERROR(IF(G315="infusing",IFERROR(LOOKUP(2,1/ISNUMBER(SEARCH(_lookup!$D$3:$D$4,H315)),_lookup!$E$3:$E$4),"INT"),VLOOKUP(G315,_lookup!$A$3:$B$14,2,FALSE)),""))</f>
        <v/>
      </c>
      <c r="K315">
        <f>IF(F315&lt;&gt;"weapon","",IF(G315="miscellaneous","1-4",IF(I315="","",IFERROR(VLOOKUP(I315&amp;"|"&amp;IF(LEFT(H315,2)="2H",2,1)&amp;"|"&amp;IF(G315="slashing",1,0),_lookup!$G$3:$H$18,2,FALSE),""))))</f>
        <v/>
      </c>
      <c r="L315">
        <f>IF(K315="","",IF(OR(G315="channeling",G315="infusing"),"Magical",IF(G315="blocking","Anti-Physical",IF(G315="warding","Anti-Magical","Physical"))))</f>
        <v/>
      </c>
      <c r="O315">
        <f>IF(F315&lt;&gt;"armor","","TBD")</f>
        <v/>
      </c>
      <c r="P315">
        <f>IF(O315="","",IF(OR(G315="channeling",G315="infusing"),"Magical",IF(G315="blocking","Anti-Physical",IF(G315="warding","Anti-Magical","Physical"))))</f>
        <v/>
      </c>
    </row>
    <row r="316">
      <c r="J316">
        <f>IF(G316="","",IFERROR(IF(G316="infusing",IFERROR(LOOKUP(2,1/ISNUMBER(SEARCH(_lookup!$D$3:$D$4,H316)),_lookup!$E$3:$E$4),"INT"),VLOOKUP(G316,_lookup!$A$3:$B$14,2,FALSE)),""))</f>
        <v/>
      </c>
      <c r="K316">
        <f>IF(F316&lt;&gt;"weapon","",IF(G316="miscellaneous","1-4",IF(I316="","",IFERROR(VLOOKUP(I316&amp;"|"&amp;IF(LEFT(H316,2)="2H",2,1)&amp;"|"&amp;IF(G316="slashing",1,0),_lookup!$G$3:$H$18,2,FALSE),""))))</f>
        <v/>
      </c>
      <c r="L316">
        <f>IF(K316="","",IF(OR(G316="channeling",G316="infusing"),"Magical",IF(G316="blocking","Anti-Physical",IF(G316="warding","Anti-Magical","Physical"))))</f>
        <v/>
      </c>
      <c r="O316">
        <f>IF(F316&lt;&gt;"armor","","TBD")</f>
        <v/>
      </c>
      <c r="P316">
        <f>IF(O316="","",IF(OR(G316="channeling",G316="infusing"),"Magical",IF(G316="blocking","Anti-Physical",IF(G316="warding","Anti-Magical","Physical"))))</f>
        <v/>
      </c>
    </row>
    <row r="317">
      <c r="J317">
        <f>IF(G317="","",IFERROR(IF(G317="infusing",IFERROR(LOOKUP(2,1/ISNUMBER(SEARCH(_lookup!$D$3:$D$4,H317)),_lookup!$E$3:$E$4),"INT"),VLOOKUP(G317,_lookup!$A$3:$B$14,2,FALSE)),""))</f>
        <v/>
      </c>
      <c r="K317">
        <f>IF(F317&lt;&gt;"weapon","",IF(G317="miscellaneous","1-4",IF(I317="","",IFERROR(VLOOKUP(I317&amp;"|"&amp;IF(LEFT(H317,2)="2H",2,1)&amp;"|"&amp;IF(G317="slashing",1,0),_lookup!$G$3:$H$18,2,FALSE),""))))</f>
        <v/>
      </c>
      <c r="L317">
        <f>IF(K317="","",IF(OR(G317="channeling",G317="infusing"),"Magical",IF(G317="blocking","Anti-Physical",IF(G317="warding","Anti-Magical","Physical"))))</f>
        <v/>
      </c>
      <c r="O317">
        <f>IF(F317&lt;&gt;"armor","","TBD")</f>
        <v/>
      </c>
      <c r="P317">
        <f>IF(O317="","",IF(OR(G317="channeling",G317="infusing"),"Magical",IF(G317="blocking","Anti-Physical",IF(G317="warding","Anti-Magical","Physical"))))</f>
        <v/>
      </c>
    </row>
    <row r="318">
      <c r="J318">
        <f>IF(G318="","",IFERROR(IF(G318="infusing",IFERROR(LOOKUP(2,1/ISNUMBER(SEARCH(_lookup!$D$3:$D$4,H318)),_lookup!$E$3:$E$4),"INT"),VLOOKUP(G318,_lookup!$A$3:$B$14,2,FALSE)),""))</f>
        <v/>
      </c>
      <c r="K318">
        <f>IF(F318&lt;&gt;"weapon","",IF(G318="miscellaneous","1-4",IF(I318="","",IFERROR(VLOOKUP(I318&amp;"|"&amp;IF(LEFT(H318,2)="2H",2,1)&amp;"|"&amp;IF(G318="slashing",1,0),_lookup!$G$3:$H$18,2,FALSE),""))))</f>
        <v/>
      </c>
      <c r="L318">
        <f>IF(K318="","",IF(OR(G318="channeling",G318="infusing"),"Magical",IF(G318="blocking","Anti-Physical",IF(G318="warding","Anti-Magical","Physical"))))</f>
        <v/>
      </c>
      <c r="O318">
        <f>IF(F318&lt;&gt;"armor","","TBD")</f>
        <v/>
      </c>
      <c r="P318">
        <f>IF(O318="","",IF(OR(G318="channeling",G318="infusing"),"Magical",IF(G318="blocking","Anti-Physical",IF(G318="warding","Anti-Magical","Physical"))))</f>
        <v/>
      </c>
    </row>
    <row r="319">
      <c r="J319">
        <f>IF(G319="","",IFERROR(IF(G319="infusing",IFERROR(LOOKUP(2,1/ISNUMBER(SEARCH(_lookup!$D$3:$D$4,H319)),_lookup!$E$3:$E$4),"INT"),VLOOKUP(G319,_lookup!$A$3:$B$14,2,FALSE)),""))</f>
        <v/>
      </c>
      <c r="K319">
        <f>IF(F319&lt;&gt;"weapon","",IF(G319="miscellaneous","1-4",IF(I319="","",IFERROR(VLOOKUP(I319&amp;"|"&amp;IF(LEFT(H319,2)="2H",2,1)&amp;"|"&amp;IF(G319="slashing",1,0),_lookup!$G$3:$H$18,2,FALSE),""))))</f>
        <v/>
      </c>
      <c r="L319">
        <f>IF(K319="","",IF(OR(G319="channeling",G319="infusing"),"Magical",IF(G319="blocking","Anti-Physical",IF(G319="warding","Anti-Magical","Physical"))))</f>
        <v/>
      </c>
      <c r="O319">
        <f>IF(F319&lt;&gt;"armor","","TBD")</f>
        <v/>
      </c>
      <c r="P319">
        <f>IF(O319="","",IF(OR(G319="channeling",G319="infusing"),"Magical",IF(G319="blocking","Anti-Physical",IF(G319="warding","Anti-Magical","Physical"))))</f>
        <v/>
      </c>
    </row>
    <row r="320">
      <c r="J320">
        <f>IF(G320="","",IFERROR(IF(G320="infusing",IFERROR(LOOKUP(2,1/ISNUMBER(SEARCH(_lookup!$D$3:$D$4,H320)),_lookup!$E$3:$E$4),"INT"),VLOOKUP(G320,_lookup!$A$3:$B$14,2,FALSE)),""))</f>
        <v/>
      </c>
      <c r="K320">
        <f>IF(F320&lt;&gt;"weapon","",IF(G320="miscellaneous","1-4",IF(I320="","",IFERROR(VLOOKUP(I320&amp;"|"&amp;IF(LEFT(H320,2)="2H",2,1)&amp;"|"&amp;IF(G320="slashing",1,0),_lookup!$G$3:$H$18,2,FALSE),""))))</f>
        <v/>
      </c>
      <c r="L320">
        <f>IF(K320="","",IF(OR(G320="channeling",G320="infusing"),"Magical",IF(G320="blocking","Anti-Physical",IF(G320="warding","Anti-Magical","Physical"))))</f>
        <v/>
      </c>
      <c r="O320">
        <f>IF(F320&lt;&gt;"armor","","TBD")</f>
        <v/>
      </c>
      <c r="P320">
        <f>IF(O320="","",IF(OR(G320="channeling",G320="infusing"),"Magical",IF(G320="blocking","Anti-Physical",IF(G320="warding","Anti-Magical","Physical"))))</f>
        <v/>
      </c>
    </row>
    <row r="321">
      <c r="J321">
        <f>IF(G321="","",IFERROR(IF(G321="infusing",IFERROR(LOOKUP(2,1/ISNUMBER(SEARCH(_lookup!$D$3:$D$4,H321)),_lookup!$E$3:$E$4),"INT"),VLOOKUP(G321,_lookup!$A$3:$B$14,2,FALSE)),""))</f>
        <v/>
      </c>
      <c r="K321">
        <f>IF(F321&lt;&gt;"weapon","",IF(G321="miscellaneous","1-4",IF(I321="","",IFERROR(VLOOKUP(I321&amp;"|"&amp;IF(LEFT(H321,2)="2H",2,1)&amp;"|"&amp;IF(G321="slashing",1,0),_lookup!$G$3:$H$18,2,FALSE),""))))</f>
        <v/>
      </c>
      <c r="L321">
        <f>IF(K321="","",IF(OR(G321="channeling",G321="infusing"),"Magical",IF(G321="blocking","Anti-Physical",IF(G321="warding","Anti-Magical","Physical"))))</f>
        <v/>
      </c>
      <c r="O321">
        <f>IF(F321&lt;&gt;"armor","","TBD")</f>
        <v/>
      </c>
      <c r="P321">
        <f>IF(O321="","",IF(OR(G321="channeling",G321="infusing"),"Magical",IF(G321="blocking","Anti-Physical",IF(G321="warding","Anti-Magical","Physical"))))</f>
        <v/>
      </c>
    </row>
    <row r="322">
      <c r="J322">
        <f>IF(G322="","",IFERROR(IF(G322="infusing",IFERROR(LOOKUP(2,1/ISNUMBER(SEARCH(_lookup!$D$3:$D$4,H322)),_lookup!$E$3:$E$4),"INT"),VLOOKUP(G322,_lookup!$A$3:$B$14,2,FALSE)),""))</f>
        <v/>
      </c>
      <c r="K322">
        <f>IF(F322&lt;&gt;"weapon","",IF(G322="miscellaneous","1-4",IF(I322="","",IFERROR(VLOOKUP(I322&amp;"|"&amp;IF(LEFT(H322,2)="2H",2,1)&amp;"|"&amp;IF(G322="slashing",1,0),_lookup!$G$3:$H$18,2,FALSE),""))))</f>
        <v/>
      </c>
      <c r="L322">
        <f>IF(K322="","",IF(OR(G322="channeling",G322="infusing"),"Magical",IF(G322="blocking","Anti-Physical",IF(G322="warding","Anti-Magical","Physical"))))</f>
        <v/>
      </c>
      <c r="O322">
        <f>IF(F322&lt;&gt;"armor","","TBD")</f>
        <v/>
      </c>
      <c r="P322">
        <f>IF(O322="","",IF(OR(G322="channeling",G322="infusing"),"Magical",IF(G322="blocking","Anti-Physical",IF(G322="warding","Anti-Magical","Physical"))))</f>
        <v/>
      </c>
    </row>
    <row r="323">
      <c r="J323">
        <f>IF(G323="","",IFERROR(IF(G323="infusing",IFERROR(LOOKUP(2,1/ISNUMBER(SEARCH(_lookup!$D$3:$D$4,H323)),_lookup!$E$3:$E$4),"INT"),VLOOKUP(G323,_lookup!$A$3:$B$14,2,FALSE)),""))</f>
        <v/>
      </c>
      <c r="K323">
        <f>IF(F323&lt;&gt;"weapon","",IF(G323="miscellaneous","1-4",IF(I323="","",IFERROR(VLOOKUP(I323&amp;"|"&amp;IF(LEFT(H323,2)="2H",2,1)&amp;"|"&amp;IF(G323="slashing",1,0),_lookup!$G$3:$H$18,2,FALSE),""))))</f>
        <v/>
      </c>
      <c r="L323">
        <f>IF(K323="","",IF(OR(G323="channeling",G323="infusing"),"Magical",IF(G323="blocking","Anti-Physical",IF(G323="warding","Anti-Magical","Physical"))))</f>
        <v/>
      </c>
      <c r="O323">
        <f>IF(F323&lt;&gt;"armor","","TBD")</f>
        <v/>
      </c>
      <c r="P323">
        <f>IF(O323="","",IF(OR(G323="channeling",G323="infusing"),"Magical",IF(G323="blocking","Anti-Physical",IF(G323="warding","Anti-Magical","Physical"))))</f>
        <v/>
      </c>
    </row>
    <row r="324">
      <c r="J324">
        <f>IF(G324="","",IFERROR(IF(G324="infusing",IFERROR(LOOKUP(2,1/ISNUMBER(SEARCH(_lookup!$D$3:$D$4,H324)),_lookup!$E$3:$E$4),"INT"),VLOOKUP(G324,_lookup!$A$3:$B$14,2,FALSE)),""))</f>
        <v/>
      </c>
      <c r="K324">
        <f>IF(F324&lt;&gt;"weapon","",IF(G324="miscellaneous","1-4",IF(I324="","",IFERROR(VLOOKUP(I324&amp;"|"&amp;IF(LEFT(H324,2)="2H",2,1)&amp;"|"&amp;IF(G324="slashing",1,0),_lookup!$G$3:$H$18,2,FALSE),""))))</f>
        <v/>
      </c>
      <c r="L324">
        <f>IF(K324="","",IF(OR(G324="channeling",G324="infusing"),"Magical",IF(G324="blocking","Anti-Physical",IF(G324="warding","Anti-Magical","Physical"))))</f>
        <v/>
      </c>
      <c r="O324">
        <f>IF(F324&lt;&gt;"armor","","TBD")</f>
        <v/>
      </c>
      <c r="P324">
        <f>IF(O324="","",IF(OR(G324="channeling",G324="infusing"),"Magical",IF(G324="blocking","Anti-Physical",IF(G324="warding","Anti-Magical","Physical"))))</f>
        <v/>
      </c>
    </row>
    <row r="325">
      <c r="J325">
        <f>IF(G325="","",IFERROR(IF(G325="infusing",IFERROR(LOOKUP(2,1/ISNUMBER(SEARCH(_lookup!$D$3:$D$4,H325)),_lookup!$E$3:$E$4),"INT"),VLOOKUP(G325,_lookup!$A$3:$B$14,2,FALSE)),""))</f>
        <v/>
      </c>
      <c r="K325">
        <f>IF(F325&lt;&gt;"weapon","",IF(G325="miscellaneous","1-4",IF(I325="","",IFERROR(VLOOKUP(I325&amp;"|"&amp;IF(LEFT(H325,2)="2H",2,1)&amp;"|"&amp;IF(G325="slashing",1,0),_lookup!$G$3:$H$18,2,FALSE),""))))</f>
        <v/>
      </c>
      <c r="L325">
        <f>IF(K325="","",IF(OR(G325="channeling",G325="infusing"),"Magical",IF(G325="blocking","Anti-Physical",IF(G325="warding","Anti-Magical","Physical"))))</f>
        <v/>
      </c>
      <c r="O325">
        <f>IF(F325&lt;&gt;"armor","","TBD")</f>
        <v/>
      </c>
      <c r="P325">
        <f>IF(O325="","",IF(OR(G325="channeling",G325="infusing"),"Magical",IF(G325="blocking","Anti-Physical",IF(G325="warding","Anti-Magical","Physical"))))</f>
        <v/>
      </c>
    </row>
    <row r="326">
      <c r="J326">
        <f>IF(G326="","",IFERROR(IF(G326="infusing",IFERROR(LOOKUP(2,1/ISNUMBER(SEARCH(_lookup!$D$3:$D$4,H326)),_lookup!$E$3:$E$4),"INT"),VLOOKUP(G326,_lookup!$A$3:$B$14,2,FALSE)),""))</f>
        <v/>
      </c>
      <c r="K326">
        <f>IF(F326&lt;&gt;"weapon","",IF(G326="miscellaneous","1-4",IF(I326="","",IFERROR(VLOOKUP(I326&amp;"|"&amp;IF(LEFT(H326,2)="2H",2,1)&amp;"|"&amp;IF(G326="slashing",1,0),_lookup!$G$3:$H$18,2,FALSE),""))))</f>
        <v/>
      </c>
      <c r="L326">
        <f>IF(K326="","",IF(OR(G326="channeling",G326="infusing"),"Magical",IF(G326="blocking","Anti-Physical",IF(G326="warding","Anti-Magical","Physical"))))</f>
        <v/>
      </c>
      <c r="O326">
        <f>IF(F326&lt;&gt;"armor","","TBD")</f>
        <v/>
      </c>
      <c r="P326">
        <f>IF(O326="","",IF(OR(G326="channeling",G326="infusing"),"Magical",IF(G326="blocking","Anti-Physical",IF(G326="warding","Anti-Magical","Physical"))))</f>
        <v/>
      </c>
    </row>
    <row r="327">
      <c r="J327">
        <f>IF(G327="","",IFERROR(IF(G327="infusing",IFERROR(LOOKUP(2,1/ISNUMBER(SEARCH(_lookup!$D$3:$D$4,H327)),_lookup!$E$3:$E$4),"INT"),VLOOKUP(G327,_lookup!$A$3:$B$14,2,FALSE)),""))</f>
        <v/>
      </c>
      <c r="K327">
        <f>IF(F327&lt;&gt;"weapon","",IF(G327="miscellaneous","1-4",IF(I327="","",IFERROR(VLOOKUP(I327&amp;"|"&amp;IF(LEFT(H327,2)="2H",2,1)&amp;"|"&amp;IF(G327="slashing",1,0),_lookup!$G$3:$H$18,2,FALSE),""))))</f>
        <v/>
      </c>
      <c r="L327">
        <f>IF(K327="","",IF(OR(G327="channeling",G327="infusing"),"Magical",IF(G327="blocking","Anti-Physical",IF(G327="warding","Anti-Magical","Physical"))))</f>
        <v/>
      </c>
      <c r="O327">
        <f>IF(F327&lt;&gt;"armor","","TBD")</f>
        <v/>
      </c>
      <c r="P327">
        <f>IF(O327="","",IF(OR(G327="channeling",G327="infusing"),"Magical",IF(G327="blocking","Anti-Physical",IF(G327="warding","Anti-Magical","Physical"))))</f>
        <v/>
      </c>
    </row>
    <row r="328">
      <c r="J328">
        <f>IF(G328="","",IFERROR(IF(G328="infusing",IFERROR(LOOKUP(2,1/ISNUMBER(SEARCH(_lookup!$D$3:$D$4,H328)),_lookup!$E$3:$E$4),"INT"),VLOOKUP(G328,_lookup!$A$3:$B$14,2,FALSE)),""))</f>
        <v/>
      </c>
      <c r="K328">
        <f>IF(F328&lt;&gt;"weapon","",IF(G328="miscellaneous","1-4",IF(I328="","",IFERROR(VLOOKUP(I328&amp;"|"&amp;IF(LEFT(H328,2)="2H",2,1)&amp;"|"&amp;IF(G328="slashing",1,0),_lookup!$G$3:$H$18,2,FALSE),""))))</f>
        <v/>
      </c>
      <c r="L328">
        <f>IF(K328="","",IF(OR(G328="channeling",G328="infusing"),"Magical",IF(G328="blocking","Anti-Physical",IF(G328="warding","Anti-Magical","Physical"))))</f>
        <v/>
      </c>
      <c r="O328">
        <f>IF(F328&lt;&gt;"armor","","TBD")</f>
        <v/>
      </c>
      <c r="P328">
        <f>IF(O328="","",IF(OR(G328="channeling",G328="infusing"),"Magical",IF(G328="blocking","Anti-Physical",IF(G328="warding","Anti-Magical","Physical"))))</f>
        <v/>
      </c>
    </row>
    <row r="329">
      <c r="J329">
        <f>IF(G329="","",IFERROR(IF(G329="infusing",IFERROR(LOOKUP(2,1/ISNUMBER(SEARCH(_lookup!$D$3:$D$4,H329)),_lookup!$E$3:$E$4),"INT"),VLOOKUP(G329,_lookup!$A$3:$B$14,2,FALSE)),""))</f>
        <v/>
      </c>
      <c r="K329">
        <f>IF(F329&lt;&gt;"weapon","",IF(G329="miscellaneous","1-4",IF(I329="","",IFERROR(VLOOKUP(I329&amp;"|"&amp;IF(LEFT(H329,2)="2H",2,1)&amp;"|"&amp;IF(G329="slashing",1,0),_lookup!$G$3:$H$18,2,FALSE),""))))</f>
        <v/>
      </c>
      <c r="L329">
        <f>IF(K329="","",IF(OR(G329="channeling",G329="infusing"),"Magical",IF(G329="blocking","Anti-Physical",IF(G329="warding","Anti-Magical","Physical"))))</f>
        <v/>
      </c>
      <c r="O329">
        <f>IF(F329&lt;&gt;"armor","","TBD")</f>
        <v/>
      </c>
      <c r="P329">
        <f>IF(O329="","",IF(OR(G329="channeling",G329="infusing"),"Magical",IF(G329="blocking","Anti-Physical",IF(G329="warding","Anti-Magical","Physical"))))</f>
        <v/>
      </c>
    </row>
    <row r="330">
      <c r="J330">
        <f>IF(G330="","",IFERROR(IF(G330="infusing",IFERROR(LOOKUP(2,1/ISNUMBER(SEARCH(_lookup!$D$3:$D$4,H330)),_lookup!$E$3:$E$4),"INT"),VLOOKUP(G330,_lookup!$A$3:$B$14,2,FALSE)),""))</f>
        <v/>
      </c>
      <c r="K330">
        <f>IF(F330&lt;&gt;"weapon","",IF(G330="miscellaneous","1-4",IF(I330="","",IFERROR(VLOOKUP(I330&amp;"|"&amp;IF(LEFT(H330,2)="2H",2,1)&amp;"|"&amp;IF(G330="slashing",1,0),_lookup!$G$3:$H$18,2,FALSE),""))))</f>
        <v/>
      </c>
      <c r="L330">
        <f>IF(K330="","",IF(OR(G330="channeling",G330="infusing"),"Magical",IF(G330="blocking","Anti-Physical",IF(G330="warding","Anti-Magical","Physical"))))</f>
        <v/>
      </c>
      <c r="O330">
        <f>IF(F330&lt;&gt;"armor","","TBD")</f>
        <v/>
      </c>
      <c r="P330">
        <f>IF(O330="","",IF(OR(G330="channeling",G330="infusing"),"Magical",IF(G330="blocking","Anti-Physical",IF(G330="warding","Anti-Magical","Physical"))))</f>
        <v/>
      </c>
    </row>
    <row r="331">
      <c r="J331">
        <f>IF(G331="","",IFERROR(IF(G331="infusing",IFERROR(LOOKUP(2,1/ISNUMBER(SEARCH(_lookup!$D$3:$D$4,H331)),_lookup!$E$3:$E$4),"INT"),VLOOKUP(G331,_lookup!$A$3:$B$14,2,FALSE)),""))</f>
        <v/>
      </c>
      <c r="K331">
        <f>IF(F331&lt;&gt;"weapon","",IF(G331="miscellaneous","1-4",IF(I331="","",IFERROR(VLOOKUP(I331&amp;"|"&amp;IF(LEFT(H331,2)="2H",2,1)&amp;"|"&amp;IF(G331="slashing",1,0),_lookup!$G$3:$H$18,2,FALSE),""))))</f>
        <v/>
      </c>
      <c r="L331">
        <f>IF(K331="","",IF(OR(G331="channeling",G331="infusing"),"Magical",IF(G331="blocking","Anti-Physical",IF(G331="warding","Anti-Magical","Physical"))))</f>
        <v/>
      </c>
      <c r="O331">
        <f>IF(F331&lt;&gt;"armor","","TBD")</f>
        <v/>
      </c>
      <c r="P331">
        <f>IF(O331="","",IF(OR(G331="channeling",G331="infusing"),"Magical",IF(G331="blocking","Anti-Physical",IF(G331="warding","Anti-Magical","Physical"))))</f>
        <v/>
      </c>
    </row>
    <row r="332">
      <c r="J332">
        <f>IF(G332="","",IFERROR(IF(G332="infusing",IFERROR(LOOKUP(2,1/ISNUMBER(SEARCH(_lookup!$D$3:$D$4,H332)),_lookup!$E$3:$E$4),"INT"),VLOOKUP(G332,_lookup!$A$3:$B$14,2,FALSE)),""))</f>
        <v/>
      </c>
      <c r="K332">
        <f>IF(F332&lt;&gt;"weapon","",IF(G332="miscellaneous","1-4",IF(I332="","",IFERROR(VLOOKUP(I332&amp;"|"&amp;IF(LEFT(H332,2)="2H",2,1)&amp;"|"&amp;IF(G332="slashing",1,0),_lookup!$G$3:$H$18,2,FALSE),""))))</f>
        <v/>
      </c>
      <c r="L332">
        <f>IF(K332="","",IF(OR(G332="channeling",G332="infusing"),"Magical",IF(G332="blocking","Anti-Physical",IF(G332="warding","Anti-Magical","Physical"))))</f>
        <v/>
      </c>
      <c r="O332">
        <f>IF(F332&lt;&gt;"armor","","TBD")</f>
        <v/>
      </c>
      <c r="P332">
        <f>IF(O332="","",IF(OR(G332="channeling",G332="infusing"),"Magical",IF(G332="blocking","Anti-Physical",IF(G332="warding","Anti-Magical","Physical"))))</f>
        <v/>
      </c>
    </row>
    <row r="333">
      <c r="J333">
        <f>IF(G333="","",IFERROR(IF(G333="infusing",IFERROR(LOOKUP(2,1/ISNUMBER(SEARCH(_lookup!$D$3:$D$4,H333)),_lookup!$E$3:$E$4),"INT"),VLOOKUP(G333,_lookup!$A$3:$B$14,2,FALSE)),""))</f>
        <v/>
      </c>
      <c r="K333">
        <f>IF(F333&lt;&gt;"weapon","",IF(G333="miscellaneous","1-4",IF(I333="","",IFERROR(VLOOKUP(I333&amp;"|"&amp;IF(LEFT(H333,2)="2H",2,1)&amp;"|"&amp;IF(G333="slashing",1,0),_lookup!$G$3:$H$18,2,FALSE),""))))</f>
        <v/>
      </c>
      <c r="L333">
        <f>IF(K333="","",IF(OR(G333="channeling",G333="infusing"),"Magical",IF(G333="blocking","Anti-Physical",IF(G333="warding","Anti-Magical","Physical"))))</f>
        <v/>
      </c>
      <c r="O333">
        <f>IF(F333&lt;&gt;"armor","","TBD")</f>
        <v/>
      </c>
      <c r="P333">
        <f>IF(O333="","",IF(OR(G333="channeling",G333="infusing"),"Magical",IF(G333="blocking","Anti-Physical",IF(G333="warding","Anti-Magical","Physical"))))</f>
        <v/>
      </c>
    </row>
    <row r="334">
      <c r="J334">
        <f>IF(G334="","",IFERROR(IF(G334="infusing",IFERROR(LOOKUP(2,1/ISNUMBER(SEARCH(_lookup!$D$3:$D$4,H334)),_lookup!$E$3:$E$4),"INT"),VLOOKUP(G334,_lookup!$A$3:$B$14,2,FALSE)),""))</f>
        <v/>
      </c>
      <c r="K334">
        <f>IF(F334&lt;&gt;"weapon","",IF(G334="miscellaneous","1-4",IF(I334="","",IFERROR(VLOOKUP(I334&amp;"|"&amp;IF(LEFT(H334,2)="2H",2,1)&amp;"|"&amp;IF(G334="slashing",1,0),_lookup!$G$3:$H$18,2,FALSE),""))))</f>
        <v/>
      </c>
      <c r="L334">
        <f>IF(K334="","",IF(OR(G334="channeling",G334="infusing"),"Magical",IF(G334="blocking","Anti-Physical",IF(G334="warding","Anti-Magical","Physical"))))</f>
        <v/>
      </c>
      <c r="O334">
        <f>IF(F334&lt;&gt;"armor","","TBD")</f>
        <v/>
      </c>
      <c r="P334">
        <f>IF(O334="","",IF(OR(G334="channeling",G334="infusing"),"Magical",IF(G334="blocking","Anti-Physical",IF(G334="warding","Anti-Magical","Physical"))))</f>
        <v/>
      </c>
    </row>
    <row r="335">
      <c r="J335">
        <f>IF(G335="","",IFERROR(IF(G335="infusing",IFERROR(LOOKUP(2,1/ISNUMBER(SEARCH(_lookup!$D$3:$D$4,H335)),_lookup!$E$3:$E$4),"INT"),VLOOKUP(G335,_lookup!$A$3:$B$14,2,FALSE)),""))</f>
        <v/>
      </c>
      <c r="K335">
        <f>IF(F335&lt;&gt;"weapon","",IF(G335="miscellaneous","1-4",IF(I335="","",IFERROR(VLOOKUP(I335&amp;"|"&amp;IF(LEFT(H335,2)="2H",2,1)&amp;"|"&amp;IF(G335="slashing",1,0),_lookup!$G$3:$H$18,2,FALSE),""))))</f>
        <v/>
      </c>
      <c r="L335">
        <f>IF(K335="","",IF(OR(G335="channeling",G335="infusing"),"Magical",IF(G335="blocking","Anti-Physical",IF(G335="warding","Anti-Magical","Physical"))))</f>
        <v/>
      </c>
      <c r="O335">
        <f>IF(F335&lt;&gt;"armor","","TBD")</f>
        <v/>
      </c>
      <c r="P335">
        <f>IF(O335="","",IF(OR(G335="channeling",G335="infusing"),"Magical",IF(G335="blocking","Anti-Physical",IF(G335="warding","Anti-Magical","Physical"))))</f>
        <v/>
      </c>
    </row>
    <row r="336">
      <c r="J336">
        <f>IF(G336="","",IFERROR(IF(G336="infusing",IFERROR(LOOKUP(2,1/ISNUMBER(SEARCH(_lookup!$D$3:$D$4,H336)),_lookup!$E$3:$E$4),"INT"),VLOOKUP(G336,_lookup!$A$3:$B$14,2,FALSE)),""))</f>
        <v/>
      </c>
      <c r="K336">
        <f>IF(F336&lt;&gt;"weapon","",IF(G336="miscellaneous","1-4",IF(I336="","",IFERROR(VLOOKUP(I336&amp;"|"&amp;IF(LEFT(H336,2)="2H",2,1)&amp;"|"&amp;IF(G336="slashing",1,0),_lookup!$G$3:$H$18,2,FALSE),""))))</f>
        <v/>
      </c>
      <c r="L336">
        <f>IF(K336="","",IF(OR(G336="channeling",G336="infusing"),"Magical",IF(G336="blocking","Anti-Physical",IF(G336="warding","Anti-Magical","Physical"))))</f>
        <v/>
      </c>
      <c r="O336">
        <f>IF(F336&lt;&gt;"armor","","TBD")</f>
        <v/>
      </c>
      <c r="P336">
        <f>IF(O336="","",IF(OR(G336="channeling",G336="infusing"),"Magical",IF(G336="blocking","Anti-Physical",IF(G336="warding","Anti-Magical","Physical"))))</f>
        <v/>
      </c>
    </row>
    <row r="337">
      <c r="J337">
        <f>IF(G337="","",IFERROR(IF(G337="infusing",IFERROR(LOOKUP(2,1/ISNUMBER(SEARCH(_lookup!$D$3:$D$4,H337)),_lookup!$E$3:$E$4),"INT"),VLOOKUP(G337,_lookup!$A$3:$B$14,2,FALSE)),""))</f>
        <v/>
      </c>
      <c r="K337">
        <f>IF(F337&lt;&gt;"weapon","",IF(G337="miscellaneous","1-4",IF(I337="","",IFERROR(VLOOKUP(I337&amp;"|"&amp;IF(LEFT(H337,2)="2H",2,1)&amp;"|"&amp;IF(G337="slashing",1,0),_lookup!$G$3:$H$18,2,FALSE),""))))</f>
        <v/>
      </c>
      <c r="L337">
        <f>IF(K337="","",IF(OR(G337="channeling",G337="infusing"),"Magical",IF(G337="blocking","Anti-Physical",IF(G337="warding","Anti-Magical","Physical"))))</f>
        <v/>
      </c>
      <c r="O337">
        <f>IF(F337&lt;&gt;"armor","","TBD")</f>
        <v/>
      </c>
      <c r="P337">
        <f>IF(O337="","",IF(OR(G337="channeling",G337="infusing"),"Magical",IF(G337="blocking","Anti-Physical",IF(G337="warding","Anti-Magical","Physical"))))</f>
        <v/>
      </c>
    </row>
    <row r="338">
      <c r="J338">
        <f>IF(G338="","",IFERROR(IF(G338="infusing",IFERROR(LOOKUP(2,1/ISNUMBER(SEARCH(_lookup!$D$3:$D$4,H338)),_lookup!$E$3:$E$4),"INT"),VLOOKUP(G338,_lookup!$A$3:$B$14,2,FALSE)),""))</f>
        <v/>
      </c>
      <c r="K338">
        <f>IF(F338&lt;&gt;"weapon","",IF(G338="miscellaneous","1-4",IF(I338="","",IFERROR(VLOOKUP(I338&amp;"|"&amp;IF(LEFT(H338,2)="2H",2,1)&amp;"|"&amp;IF(G338="slashing",1,0),_lookup!$G$3:$H$18,2,FALSE),""))))</f>
        <v/>
      </c>
      <c r="L338">
        <f>IF(K338="","",IF(OR(G338="channeling",G338="infusing"),"Magical",IF(G338="blocking","Anti-Physical",IF(G338="warding","Anti-Magical","Physical"))))</f>
        <v/>
      </c>
      <c r="O338">
        <f>IF(F338&lt;&gt;"armor","","TBD")</f>
        <v/>
      </c>
      <c r="P338">
        <f>IF(O338="","",IF(OR(G338="channeling",G338="infusing"),"Magical",IF(G338="blocking","Anti-Physical",IF(G338="warding","Anti-Magical","Physical"))))</f>
        <v/>
      </c>
    </row>
    <row r="339">
      <c r="J339">
        <f>IF(G339="","",IFERROR(IF(G339="infusing",IFERROR(LOOKUP(2,1/ISNUMBER(SEARCH(_lookup!$D$3:$D$4,H339)),_lookup!$E$3:$E$4),"INT"),VLOOKUP(G339,_lookup!$A$3:$B$14,2,FALSE)),""))</f>
        <v/>
      </c>
      <c r="K339">
        <f>IF(F339&lt;&gt;"weapon","",IF(G339="miscellaneous","1-4",IF(I339="","",IFERROR(VLOOKUP(I339&amp;"|"&amp;IF(LEFT(H339,2)="2H",2,1)&amp;"|"&amp;IF(G339="slashing",1,0),_lookup!$G$3:$H$18,2,FALSE),""))))</f>
        <v/>
      </c>
      <c r="L339">
        <f>IF(K339="","",IF(OR(G339="channeling",G339="infusing"),"Magical",IF(G339="blocking","Anti-Physical",IF(G339="warding","Anti-Magical","Physical"))))</f>
        <v/>
      </c>
      <c r="O339">
        <f>IF(F339&lt;&gt;"armor","","TBD")</f>
        <v/>
      </c>
      <c r="P339">
        <f>IF(O339="","",IF(OR(G339="channeling",G339="infusing"),"Magical",IF(G339="blocking","Anti-Physical",IF(G339="warding","Anti-Magical","Physical"))))</f>
        <v/>
      </c>
    </row>
    <row r="340">
      <c r="J340">
        <f>IF(G340="","",IFERROR(IF(G340="infusing",IFERROR(LOOKUP(2,1/ISNUMBER(SEARCH(_lookup!$D$3:$D$4,H340)),_lookup!$E$3:$E$4),"INT"),VLOOKUP(G340,_lookup!$A$3:$B$14,2,FALSE)),""))</f>
        <v/>
      </c>
      <c r="K340">
        <f>IF(F340&lt;&gt;"weapon","",IF(G340="miscellaneous","1-4",IF(I340="","",IFERROR(VLOOKUP(I340&amp;"|"&amp;IF(LEFT(H340,2)="2H",2,1)&amp;"|"&amp;IF(G340="slashing",1,0),_lookup!$G$3:$H$18,2,FALSE),""))))</f>
        <v/>
      </c>
      <c r="L340">
        <f>IF(K340="","",IF(OR(G340="channeling",G340="infusing"),"Magical",IF(G340="blocking","Anti-Physical",IF(G340="warding","Anti-Magical","Physical"))))</f>
        <v/>
      </c>
      <c r="O340">
        <f>IF(F340&lt;&gt;"armor","","TBD")</f>
        <v/>
      </c>
      <c r="P340">
        <f>IF(O340="","",IF(OR(G340="channeling",G340="infusing"),"Magical",IF(G340="blocking","Anti-Physical",IF(G340="warding","Anti-Magical","Physical"))))</f>
        <v/>
      </c>
    </row>
    <row r="341">
      <c r="J341">
        <f>IF(G341="","",IFERROR(IF(G341="infusing",IFERROR(LOOKUP(2,1/ISNUMBER(SEARCH(_lookup!$D$3:$D$4,H341)),_lookup!$E$3:$E$4),"INT"),VLOOKUP(G341,_lookup!$A$3:$B$14,2,FALSE)),""))</f>
        <v/>
      </c>
      <c r="K341">
        <f>IF(F341&lt;&gt;"weapon","",IF(G341="miscellaneous","1-4",IF(I341="","",IFERROR(VLOOKUP(I341&amp;"|"&amp;IF(LEFT(H341,2)="2H",2,1)&amp;"|"&amp;IF(G341="slashing",1,0),_lookup!$G$3:$H$18,2,FALSE),""))))</f>
        <v/>
      </c>
      <c r="L341">
        <f>IF(K341="","",IF(OR(G341="channeling",G341="infusing"),"Magical",IF(G341="blocking","Anti-Physical",IF(G341="warding","Anti-Magical","Physical"))))</f>
        <v/>
      </c>
      <c r="O341">
        <f>IF(F341&lt;&gt;"armor","","TBD")</f>
        <v/>
      </c>
      <c r="P341">
        <f>IF(O341="","",IF(OR(G341="channeling",G341="infusing"),"Magical",IF(G341="blocking","Anti-Physical",IF(G341="warding","Anti-Magical","Physical"))))</f>
        <v/>
      </c>
    </row>
    <row r="342">
      <c r="J342">
        <f>IF(G342="","",IFERROR(IF(G342="infusing",IFERROR(LOOKUP(2,1/ISNUMBER(SEARCH(_lookup!$D$3:$D$4,H342)),_lookup!$E$3:$E$4),"INT"),VLOOKUP(G342,_lookup!$A$3:$B$14,2,FALSE)),""))</f>
        <v/>
      </c>
      <c r="K342">
        <f>IF(F342&lt;&gt;"weapon","",IF(G342="miscellaneous","1-4",IF(I342="","",IFERROR(VLOOKUP(I342&amp;"|"&amp;IF(LEFT(H342,2)="2H",2,1)&amp;"|"&amp;IF(G342="slashing",1,0),_lookup!$G$3:$H$18,2,FALSE),""))))</f>
        <v/>
      </c>
      <c r="L342">
        <f>IF(K342="","",IF(OR(G342="channeling",G342="infusing"),"Magical",IF(G342="blocking","Anti-Physical",IF(G342="warding","Anti-Magical","Physical"))))</f>
        <v/>
      </c>
      <c r="O342">
        <f>IF(F342&lt;&gt;"armor","","TBD")</f>
        <v/>
      </c>
      <c r="P342">
        <f>IF(O342="","",IF(OR(G342="channeling",G342="infusing"),"Magical",IF(G342="blocking","Anti-Physical",IF(G342="warding","Anti-Magical","Physical"))))</f>
        <v/>
      </c>
    </row>
    <row r="343">
      <c r="J343">
        <f>IF(G343="","",IFERROR(IF(G343="infusing",IFERROR(LOOKUP(2,1/ISNUMBER(SEARCH(_lookup!$D$3:$D$4,H343)),_lookup!$E$3:$E$4),"INT"),VLOOKUP(G343,_lookup!$A$3:$B$14,2,FALSE)),""))</f>
        <v/>
      </c>
      <c r="K343">
        <f>IF(F343&lt;&gt;"weapon","",IF(G343="miscellaneous","1-4",IF(I343="","",IFERROR(VLOOKUP(I343&amp;"|"&amp;IF(LEFT(H343,2)="2H",2,1)&amp;"|"&amp;IF(G343="slashing",1,0),_lookup!$G$3:$H$18,2,FALSE),""))))</f>
        <v/>
      </c>
      <c r="L343">
        <f>IF(K343="","",IF(OR(G343="channeling",G343="infusing"),"Magical",IF(G343="blocking","Anti-Physical",IF(G343="warding","Anti-Magical","Physical"))))</f>
        <v/>
      </c>
      <c r="O343">
        <f>IF(F343&lt;&gt;"armor","","TBD")</f>
        <v/>
      </c>
      <c r="P343">
        <f>IF(O343="","",IF(OR(G343="channeling",G343="infusing"),"Magical",IF(G343="blocking","Anti-Physical",IF(G343="warding","Anti-Magical","Physical"))))</f>
        <v/>
      </c>
    </row>
    <row r="344">
      <c r="J344">
        <f>IF(G344="","",IFERROR(IF(G344="infusing",IFERROR(LOOKUP(2,1/ISNUMBER(SEARCH(_lookup!$D$3:$D$4,H344)),_lookup!$E$3:$E$4),"INT"),VLOOKUP(G344,_lookup!$A$3:$B$14,2,FALSE)),""))</f>
        <v/>
      </c>
      <c r="K344">
        <f>IF(F344&lt;&gt;"weapon","",IF(G344="miscellaneous","1-4",IF(I344="","",IFERROR(VLOOKUP(I344&amp;"|"&amp;IF(LEFT(H344,2)="2H",2,1)&amp;"|"&amp;IF(G344="slashing",1,0),_lookup!$G$3:$H$18,2,FALSE),""))))</f>
        <v/>
      </c>
      <c r="L344">
        <f>IF(K344="","",IF(OR(G344="channeling",G344="infusing"),"Magical",IF(G344="blocking","Anti-Physical",IF(G344="warding","Anti-Magical","Physical"))))</f>
        <v/>
      </c>
      <c r="O344">
        <f>IF(F344&lt;&gt;"armor","","TBD")</f>
        <v/>
      </c>
      <c r="P344">
        <f>IF(O344="","",IF(OR(G344="channeling",G344="infusing"),"Magical",IF(G344="blocking","Anti-Physical",IF(G344="warding","Anti-Magical","Physical"))))</f>
        <v/>
      </c>
    </row>
    <row r="345">
      <c r="J345">
        <f>IF(G345="","",IFERROR(IF(G345="infusing",IFERROR(LOOKUP(2,1/ISNUMBER(SEARCH(_lookup!$D$3:$D$4,H345)),_lookup!$E$3:$E$4),"INT"),VLOOKUP(G345,_lookup!$A$3:$B$14,2,FALSE)),""))</f>
        <v/>
      </c>
      <c r="K345">
        <f>IF(F345&lt;&gt;"weapon","",IF(G345="miscellaneous","1-4",IF(I345="","",IFERROR(VLOOKUP(I345&amp;"|"&amp;IF(LEFT(H345,2)="2H",2,1)&amp;"|"&amp;IF(G345="slashing",1,0),_lookup!$G$3:$H$18,2,FALSE),""))))</f>
        <v/>
      </c>
      <c r="L345">
        <f>IF(K345="","",IF(OR(G345="channeling",G345="infusing"),"Magical",IF(G345="blocking","Anti-Physical",IF(G345="warding","Anti-Magical","Physical"))))</f>
        <v/>
      </c>
      <c r="O345">
        <f>IF(F345&lt;&gt;"armor","","TBD")</f>
        <v/>
      </c>
      <c r="P345">
        <f>IF(O345="","",IF(OR(G345="channeling",G345="infusing"),"Magical",IF(G345="blocking","Anti-Physical",IF(G345="warding","Anti-Magical","Physical"))))</f>
        <v/>
      </c>
    </row>
    <row r="346">
      <c r="J346">
        <f>IF(G346="","",IFERROR(IF(G346="infusing",IFERROR(LOOKUP(2,1/ISNUMBER(SEARCH(_lookup!$D$3:$D$4,H346)),_lookup!$E$3:$E$4),"INT"),VLOOKUP(G346,_lookup!$A$3:$B$14,2,FALSE)),""))</f>
        <v/>
      </c>
      <c r="K346">
        <f>IF(F346&lt;&gt;"weapon","",IF(G346="miscellaneous","1-4",IF(I346="","",IFERROR(VLOOKUP(I346&amp;"|"&amp;IF(LEFT(H346,2)="2H",2,1)&amp;"|"&amp;IF(G346="slashing",1,0),_lookup!$G$3:$H$18,2,FALSE),""))))</f>
        <v/>
      </c>
      <c r="L346">
        <f>IF(K346="","",IF(OR(G346="channeling",G346="infusing"),"Magical",IF(G346="blocking","Anti-Physical",IF(G346="warding","Anti-Magical","Physical"))))</f>
        <v/>
      </c>
      <c r="O346">
        <f>IF(F346&lt;&gt;"armor","","TBD")</f>
        <v/>
      </c>
      <c r="P346">
        <f>IF(O346="","",IF(OR(G346="channeling",G346="infusing"),"Magical",IF(G346="blocking","Anti-Physical",IF(G346="warding","Anti-Magical","Physical"))))</f>
        <v/>
      </c>
    </row>
    <row r="347">
      <c r="J347">
        <f>IF(G347="","",IFERROR(IF(G347="infusing",IFERROR(LOOKUP(2,1/ISNUMBER(SEARCH(_lookup!$D$3:$D$4,H347)),_lookup!$E$3:$E$4),"INT"),VLOOKUP(G347,_lookup!$A$3:$B$14,2,FALSE)),""))</f>
        <v/>
      </c>
      <c r="K347">
        <f>IF(F347&lt;&gt;"weapon","",IF(G347="miscellaneous","1-4",IF(I347="","",IFERROR(VLOOKUP(I347&amp;"|"&amp;IF(LEFT(H347,2)="2H",2,1)&amp;"|"&amp;IF(G347="slashing",1,0),_lookup!$G$3:$H$18,2,FALSE),""))))</f>
        <v/>
      </c>
      <c r="L347">
        <f>IF(K347="","",IF(OR(G347="channeling",G347="infusing"),"Magical",IF(G347="blocking","Anti-Physical",IF(G347="warding","Anti-Magical","Physical"))))</f>
        <v/>
      </c>
      <c r="O347">
        <f>IF(F347&lt;&gt;"armor","","TBD")</f>
        <v/>
      </c>
      <c r="P347">
        <f>IF(O347="","",IF(OR(G347="channeling",G347="infusing"),"Magical",IF(G347="blocking","Anti-Physical",IF(G347="warding","Anti-Magical","Physical"))))</f>
        <v/>
      </c>
    </row>
    <row r="348">
      <c r="J348">
        <f>IF(G348="","",IFERROR(IF(G348="infusing",IFERROR(LOOKUP(2,1/ISNUMBER(SEARCH(_lookup!$D$3:$D$4,H348)),_lookup!$E$3:$E$4),"INT"),VLOOKUP(G348,_lookup!$A$3:$B$14,2,FALSE)),""))</f>
        <v/>
      </c>
      <c r="K348">
        <f>IF(F348&lt;&gt;"weapon","",IF(G348="miscellaneous","1-4",IF(I348="","",IFERROR(VLOOKUP(I348&amp;"|"&amp;IF(LEFT(H348,2)="2H",2,1)&amp;"|"&amp;IF(G348="slashing",1,0),_lookup!$G$3:$H$18,2,FALSE),""))))</f>
        <v/>
      </c>
      <c r="L348">
        <f>IF(K348="","",IF(OR(G348="channeling",G348="infusing"),"Magical",IF(G348="blocking","Anti-Physical",IF(G348="warding","Anti-Magical","Physical"))))</f>
        <v/>
      </c>
      <c r="O348">
        <f>IF(F348&lt;&gt;"armor","","TBD")</f>
        <v/>
      </c>
      <c r="P348">
        <f>IF(O348="","",IF(OR(G348="channeling",G348="infusing"),"Magical",IF(G348="blocking","Anti-Physical",IF(G348="warding","Anti-Magical","Physical"))))</f>
        <v/>
      </c>
    </row>
    <row r="349">
      <c r="J349">
        <f>IF(G349="","",IFERROR(IF(G349="infusing",IFERROR(LOOKUP(2,1/ISNUMBER(SEARCH(_lookup!$D$3:$D$4,H349)),_lookup!$E$3:$E$4),"INT"),VLOOKUP(G349,_lookup!$A$3:$B$14,2,FALSE)),""))</f>
        <v/>
      </c>
      <c r="K349">
        <f>IF(F349&lt;&gt;"weapon","",IF(G349="miscellaneous","1-4",IF(I349="","",IFERROR(VLOOKUP(I349&amp;"|"&amp;IF(LEFT(H349,2)="2H",2,1)&amp;"|"&amp;IF(G349="slashing",1,0),_lookup!$G$3:$H$18,2,FALSE),""))))</f>
        <v/>
      </c>
      <c r="L349">
        <f>IF(K349="","",IF(OR(G349="channeling",G349="infusing"),"Magical",IF(G349="blocking","Anti-Physical",IF(G349="warding","Anti-Magical","Physical"))))</f>
        <v/>
      </c>
      <c r="O349">
        <f>IF(F349&lt;&gt;"armor","","TBD")</f>
        <v/>
      </c>
      <c r="P349">
        <f>IF(O349="","",IF(OR(G349="channeling",G349="infusing"),"Magical",IF(G349="blocking","Anti-Physical",IF(G349="warding","Anti-Magical","Physical"))))</f>
        <v/>
      </c>
    </row>
    <row r="350">
      <c r="J350">
        <f>IF(G350="","",IFERROR(IF(G350="infusing",IFERROR(LOOKUP(2,1/ISNUMBER(SEARCH(_lookup!$D$3:$D$4,H350)),_lookup!$E$3:$E$4),"INT"),VLOOKUP(G350,_lookup!$A$3:$B$14,2,FALSE)),""))</f>
        <v/>
      </c>
      <c r="K350">
        <f>IF(F350&lt;&gt;"weapon","",IF(G350="miscellaneous","1-4",IF(I350="","",IFERROR(VLOOKUP(I350&amp;"|"&amp;IF(LEFT(H350,2)="2H",2,1)&amp;"|"&amp;IF(G350="slashing",1,0),_lookup!$G$3:$H$18,2,FALSE),""))))</f>
        <v/>
      </c>
      <c r="L350">
        <f>IF(K350="","",IF(OR(G350="channeling",G350="infusing"),"Magical",IF(G350="blocking","Anti-Physical",IF(G350="warding","Anti-Magical","Physical"))))</f>
        <v/>
      </c>
      <c r="O350">
        <f>IF(F350&lt;&gt;"armor","","TBD")</f>
        <v/>
      </c>
      <c r="P350">
        <f>IF(O350="","",IF(OR(G350="channeling",G350="infusing"),"Magical",IF(G350="blocking","Anti-Physical",IF(G350="warding","Anti-Magical","Physical"))))</f>
        <v/>
      </c>
    </row>
    <row r="351">
      <c r="J351">
        <f>IF(G351="","",IFERROR(IF(G351="infusing",IFERROR(LOOKUP(2,1/ISNUMBER(SEARCH(_lookup!$D$3:$D$4,H351)),_lookup!$E$3:$E$4),"INT"),VLOOKUP(G351,_lookup!$A$3:$B$14,2,FALSE)),""))</f>
        <v/>
      </c>
      <c r="K351">
        <f>IF(F351&lt;&gt;"weapon","",IF(G351="miscellaneous","1-4",IF(I351="","",IFERROR(VLOOKUP(I351&amp;"|"&amp;IF(LEFT(H351,2)="2H",2,1)&amp;"|"&amp;IF(G351="slashing",1,0),_lookup!$G$3:$H$18,2,FALSE),""))))</f>
        <v/>
      </c>
      <c r="L351">
        <f>IF(K351="","",IF(OR(G351="channeling",G351="infusing"),"Magical",IF(G351="blocking","Anti-Physical",IF(G351="warding","Anti-Magical","Physical"))))</f>
        <v/>
      </c>
      <c r="O351">
        <f>IF(F351&lt;&gt;"armor","","TBD")</f>
        <v/>
      </c>
      <c r="P351">
        <f>IF(O351="","",IF(OR(G351="channeling",G351="infusing"),"Magical",IF(G351="blocking","Anti-Physical",IF(G351="warding","Anti-Magical","Physical"))))</f>
        <v/>
      </c>
    </row>
    <row r="352">
      <c r="J352">
        <f>IF(G352="","",IFERROR(IF(G352="infusing",IFERROR(LOOKUP(2,1/ISNUMBER(SEARCH(_lookup!$D$3:$D$4,H352)),_lookup!$E$3:$E$4),"INT"),VLOOKUP(G352,_lookup!$A$3:$B$14,2,FALSE)),""))</f>
        <v/>
      </c>
      <c r="K352">
        <f>IF(F352&lt;&gt;"weapon","",IF(G352="miscellaneous","1-4",IF(I352="","",IFERROR(VLOOKUP(I352&amp;"|"&amp;IF(LEFT(H352,2)="2H",2,1)&amp;"|"&amp;IF(G352="slashing",1,0),_lookup!$G$3:$H$18,2,FALSE),""))))</f>
        <v/>
      </c>
      <c r="L352">
        <f>IF(K352="","",IF(OR(G352="channeling",G352="infusing"),"Magical",IF(G352="blocking","Anti-Physical",IF(G352="warding","Anti-Magical","Physical"))))</f>
        <v/>
      </c>
      <c r="O352">
        <f>IF(F352&lt;&gt;"armor","","TBD")</f>
        <v/>
      </c>
      <c r="P352">
        <f>IF(O352="","",IF(OR(G352="channeling",G352="infusing"),"Magical",IF(G352="blocking","Anti-Physical",IF(G352="warding","Anti-Magical","Physical"))))</f>
        <v/>
      </c>
    </row>
    <row r="353">
      <c r="J353">
        <f>IF(G353="","",IFERROR(IF(G353="infusing",IFERROR(LOOKUP(2,1/ISNUMBER(SEARCH(_lookup!$D$3:$D$4,H353)),_lookup!$E$3:$E$4),"INT"),VLOOKUP(G353,_lookup!$A$3:$B$14,2,FALSE)),""))</f>
        <v/>
      </c>
      <c r="K353">
        <f>IF(F353&lt;&gt;"weapon","",IF(G353="miscellaneous","1-4",IF(I353="","",IFERROR(VLOOKUP(I353&amp;"|"&amp;IF(LEFT(H353,2)="2H",2,1)&amp;"|"&amp;IF(G353="slashing",1,0),_lookup!$G$3:$H$18,2,FALSE),""))))</f>
        <v/>
      </c>
      <c r="L353">
        <f>IF(K353="","",IF(OR(G353="channeling",G353="infusing"),"Magical",IF(G353="blocking","Anti-Physical",IF(G353="warding","Anti-Magical","Physical"))))</f>
        <v/>
      </c>
      <c r="O353">
        <f>IF(F353&lt;&gt;"armor","","TBD")</f>
        <v/>
      </c>
      <c r="P353">
        <f>IF(O353="","",IF(OR(G353="channeling",G353="infusing"),"Magical",IF(G353="blocking","Anti-Physical",IF(G353="warding","Anti-Magical","Physical"))))</f>
        <v/>
      </c>
    </row>
    <row r="354">
      <c r="J354">
        <f>IF(G354="","",IFERROR(IF(G354="infusing",IFERROR(LOOKUP(2,1/ISNUMBER(SEARCH(_lookup!$D$3:$D$4,H354)),_lookup!$E$3:$E$4),"INT"),VLOOKUP(G354,_lookup!$A$3:$B$14,2,FALSE)),""))</f>
        <v/>
      </c>
      <c r="K354">
        <f>IF(F354&lt;&gt;"weapon","",IF(G354="miscellaneous","1-4",IF(I354="","",IFERROR(VLOOKUP(I354&amp;"|"&amp;IF(LEFT(H354,2)="2H",2,1)&amp;"|"&amp;IF(G354="slashing",1,0),_lookup!$G$3:$H$18,2,FALSE),""))))</f>
        <v/>
      </c>
      <c r="L354">
        <f>IF(K354="","",IF(OR(G354="channeling",G354="infusing"),"Magical",IF(G354="blocking","Anti-Physical",IF(G354="warding","Anti-Magical","Physical"))))</f>
        <v/>
      </c>
      <c r="O354">
        <f>IF(F354&lt;&gt;"armor","","TBD")</f>
        <v/>
      </c>
      <c r="P354">
        <f>IF(O354="","",IF(OR(G354="channeling",G354="infusing"),"Magical",IF(G354="blocking","Anti-Physical",IF(G354="warding","Anti-Magical","Physical"))))</f>
        <v/>
      </c>
    </row>
    <row r="355">
      <c r="J355">
        <f>IF(G355="","",IFERROR(IF(G355="infusing",IFERROR(LOOKUP(2,1/ISNUMBER(SEARCH(_lookup!$D$3:$D$4,H355)),_lookup!$E$3:$E$4),"INT"),VLOOKUP(G355,_lookup!$A$3:$B$14,2,FALSE)),""))</f>
        <v/>
      </c>
      <c r="K355">
        <f>IF(F355&lt;&gt;"weapon","",IF(G355="miscellaneous","1-4",IF(I355="","",IFERROR(VLOOKUP(I355&amp;"|"&amp;IF(LEFT(H355,2)="2H",2,1)&amp;"|"&amp;IF(G355="slashing",1,0),_lookup!$G$3:$H$18,2,FALSE),""))))</f>
        <v/>
      </c>
      <c r="L355">
        <f>IF(K355="","",IF(OR(G355="channeling",G355="infusing"),"Magical",IF(G355="blocking","Anti-Physical",IF(G355="warding","Anti-Magical","Physical"))))</f>
        <v/>
      </c>
      <c r="O355">
        <f>IF(F355&lt;&gt;"armor","","TBD")</f>
        <v/>
      </c>
      <c r="P355">
        <f>IF(O355="","",IF(OR(G355="channeling",G355="infusing"),"Magical",IF(G355="blocking","Anti-Physical",IF(G355="warding","Anti-Magical","Physical"))))</f>
        <v/>
      </c>
    </row>
    <row r="356">
      <c r="J356">
        <f>IF(G356="","",IFERROR(IF(G356="infusing",IFERROR(LOOKUP(2,1/ISNUMBER(SEARCH(_lookup!$D$3:$D$4,H356)),_lookup!$E$3:$E$4),"INT"),VLOOKUP(G356,_lookup!$A$3:$B$14,2,FALSE)),""))</f>
        <v/>
      </c>
      <c r="K356">
        <f>IF(F356&lt;&gt;"weapon","",IF(G356="miscellaneous","1-4",IF(I356="","",IFERROR(VLOOKUP(I356&amp;"|"&amp;IF(LEFT(H356,2)="2H",2,1)&amp;"|"&amp;IF(G356="slashing",1,0),_lookup!$G$3:$H$18,2,FALSE),""))))</f>
        <v/>
      </c>
      <c r="L356">
        <f>IF(K356="","",IF(OR(G356="channeling",G356="infusing"),"Magical",IF(G356="blocking","Anti-Physical",IF(G356="warding","Anti-Magical","Physical"))))</f>
        <v/>
      </c>
      <c r="O356">
        <f>IF(F356&lt;&gt;"armor","","TBD")</f>
        <v/>
      </c>
      <c r="P356">
        <f>IF(O356="","",IF(OR(G356="channeling",G356="infusing"),"Magical",IF(G356="blocking","Anti-Physical",IF(G356="warding","Anti-Magical","Physical"))))</f>
        <v/>
      </c>
    </row>
    <row r="357">
      <c r="J357">
        <f>IF(G357="","",IFERROR(IF(G357="infusing",IFERROR(LOOKUP(2,1/ISNUMBER(SEARCH(_lookup!$D$3:$D$4,H357)),_lookup!$E$3:$E$4),"INT"),VLOOKUP(G357,_lookup!$A$3:$B$14,2,FALSE)),""))</f>
        <v/>
      </c>
      <c r="K357">
        <f>IF(F357&lt;&gt;"weapon","",IF(G357="miscellaneous","1-4",IF(I357="","",IFERROR(VLOOKUP(I357&amp;"|"&amp;IF(LEFT(H357,2)="2H",2,1)&amp;"|"&amp;IF(G357="slashing",1,0),_lookup!$G$3:$H$18,2,FALSE),""))))</f>
        <v/>
      </c>
      <c r="L357">
        <f>IF(K357="","",IF(OR(G357="channeling",G357="infusing"),"Magical",IF(G357="blocking","Anti-Physical",IF(G357="warding","Anti-Magical","Physical"))))</f>
        <v/>
      </c>
      <c r="O357">
        <f>IF(F357&lt;&gt;"armor","","TBD")</f>
        <v/>
      </c>
      <c r="P357">
        <f>IF(O357="","",IF(OR(G357="channeling",G357="infusing"),"Magical",IF(G357="blocking","Anti-Physical",IF(G357="warding","Anti-Magical","Physical"))))</f>
        <v/>
      </c>
    </row>
    <row r="358">
      <c r="J358">
        <f>IF(G358="","",IFERROR(IF(G358="infusing",IFERROR(LOOKUP(2,1/ISNUMBER(SEARCH(_lookup!$D$3:$D$4,H358)),_lookup!$E$3:$E$4),"INT"),VLOOKUP(G358,_lookup!$A$3:$B$14,2,FALSE)),""))</f>
        <v/>
      </c>
      <c r="K358">
        <f>IF(F358&lt;&gt;"weapon","",IF(G358="miscellaneous","1-4",IF(I358="","",IFERROR(VLOOKUP(I358&amp;"|"&amp;IF(LEFT(H358,2)="2H",2,1)&amp;"|"&amp;IF(G358="slashing",1,0),_lookup!$G$3:$H$18,2,FALSE),""))))</f>
        <v/>
      </c>
      <c r="L358">
        <f>IF(K358="","",IF(OR(G358="channeling",G358="infusing"),"Magical",IF(G358="blocking","Anti-Physical",IF(G358="warding","Anti-Magical","Physical"))))</f>
        <v/>
      </c>
      <c r="O358">
        <f>IF(F358&lt;&gt;"armor","","TBD")</f>
        <v/>
      </c>
      <c r="P358">
        <f>IF(O358="","",IF(OR(G358="channeling",G358="infusing"),"Magical",IF(G358="blocking","Anti-Physical",IF(G358="warding","Anti-Magical","Physical"))))</f>
        <v/>
      </c>
    </row>
    <row r="359">
      <c r="J359">
        <f>IF(G359="","",IFERROR(IF(G359="infusing",IFERROR(LOOKUP(2,1/ISNUMBER(SEARCH(_lookup!$D$3:$D$4,H359)),_lookup!$E$3:$E$4),"INT"),VLOOKUP(G359,_lookup!$A$3:$B$14,2,FALSE)),""))</f>
        <v/>
      </c>
      <c r="K359">
        <f>IF(F359&lt;&gt;"weapon","",IF(G359="miscellaneous","1-4",IF(I359="","",IFERROR(VLOOKUP(I359&amp;"|"&amp;IF(LEFT(H359,2)="2H",2,1)&amp;"|"&amp;IF(G359="slashing",1,0),_lookup!$G$3:$H$18,2,FALSE),""))))</f>
        <v/>
      </c>
      <c r="L359">
        <f>IF(K359="","",IF(OR(G359="channeling",G359="infusing"),"Magical",IF(G359="blocking","Anti-Physical",IF(G359="warding","Anti-Magical","Physical"))))</f>
        <v/>
      </c>
      <c r="O359">
        <f>IF(F359&lt;&gt;"armor","","TBD")</f>
        <v/>
      </c>
      <c r="P359">
        <f>IF(O359="","",IF(OR(G359="channeling",G359="infusing"),"Magical",IF(G359="blocking","Anti-Physical",IF(G359="warding","Anti-Magical","Physical"))))</f>
        <v/>
      </c>
    </row>
    <row r="360">
      <c r="J360">
        <f>IF(G360="","",IFERROR(IF(G360="infusing",IFERROR(LOOKUP(2,1/ISNUMBER(SEARCH(_lookup!$D$3:$D$4,H360)),_lookup!$E$3:$E$4),"INT"),VLOOKUP(G360,_lookup!$A$3:$B$14,2,FALSE)),""))</f>
        <v/>
      </c>
      <c r="K360">
        <f>IF(F360&lt;&gt;"weapon","",IF(G360="miscellaneous","1-4",IF(I360="","",IFERROR(VLOOKUP(I360&amp;"|"&amp;IF(LEFT(H360,2)="2H",2,1)&amp;"|"&amp;IF(G360="slashing",1,0),_lookup!$G$3:$H$18,2,FALSE),""))))</f>
        <v/>
      </c>
      <c r="L360">
        <f>IF(K360="","",IF(OR(G360="channeling",G360="infusing"),"Magical",IF(G360="blocking","Anti-Physical",IF(G360="warding","Anti-Magical","Physical"))))</f>
        <v/>
      </c>
      <c r="O360">
        <f>IF(F360&lt;&gt;"armor","","TBD")</f>
        <v/>
      </c>
      <c r="P360">
        <f>IF(O360="","",IF(OR(G360="channeling",G360="infusing"),"Magical",IF(G360="blocking","Anti-Physical",IF(G360="warding","Anti-Magical","Physical"))))</f>
        <v/>
      </c>
    </row>
    <row r="361">
      <c r="J361">
        <f>IF(G361="","",IFERROR(IF(G361="infusing",IFERROR(LOOKUP(2,1/ISNUMBER(SEARCH(_lookup!$D$3:$D$4,H361)),_lookup!$E$3:$E$4),"INT"),VLOOKUP(G361,_lookup!$A$3:$B$14,2,FALSE)),""))</f>
        <v/>
      </c>
      <c r="K361">
        <f>IF(F361&lt;&gt;"weapon","",IF(G361="miscellaneous","1-4",IF(I361="","",IFERROR(VLOOKUP(I361&amp;"|"&amp;IF(LEFT(H361,2)="2H",2,1)&amp;"|"&amp;IF(G361="slashing",1,0),_lookup!$G$3:$H$18,2,FALSE),""))))</f>
        <v/>
      </c>
      <c r="L361">
        <f>IF(K361="","",IF(OR(G361="channeling",G361="infusing"),"Magical",IF(G361="blocking","Anti-Physical",IF(G361="warding","Anti-Magical","Physical"))))</f>
        <v/>
      </c>
      <c r="O361">
        <f>IF(F361&lt;&gt;"armor","","TBD")</f>
        <v/>
      </c>
      <c r="P361">
        <f>IF(O361="","",IF(OR(G361="channeling",G361="infusing"),"Magical",IF(G361="blocking","Anti-Physical",IF(G361="warding","Anti-Magical","Physical"))))</f>
        <v/>
      </c>
    </row>
    <row r="362">
      <c r="J362">
        <f>IF(G362="","",IFERROR(IF(G362="infusing",IFERROR(LOOKUP(2,1/ISNUMBER(SEARCH(_lookup!$D$3:$D$4,H362)),_lookup!$E$3:$E$4),"INT"),VLOOKUP(G362,_lookup!$A$3:$B$14,2,FALSE)),""))</f>
        <v/>
      </c>
      <c r="K362">
        <f>IF(F362&lt;&gt;"weapon","",IF(G362="miscellaneous","1-4",IF(I362="","",IFERROR(VLOOKUP(I362&amp;"|"&amp;IF(LEFT(H362,2)="2H",2,1)&amp;"|"&amp;IF(G362="slashing",1,0),_lookup!$G$3:$H$18,2,FALSE),""))))</f>
        <v/>
      </c>
      <c r="L362">
        <f>IF(K362="","",IF(OR(G362="channeling",G362="infusing"),"Magical",IF(G362="blocking","Anti-Physical",IF(G362="warding","Anti-Magical","Physical"))))</f>
        <v/>
      </c>
      <c r="O362">
        <f>IF(F362&lt;&gt;"armor","","TBD")</f>
        <v/>
      </c>
      <c r="P362">
        <f>IF(O362="","",IF(OR(G362="channeling",G362="infusing"),"Magical",IF(G362="blocking","Anti-Physical",IF(G362="warding","Anti-Magical","Physical"))))</f>
        <v/>
      </c>
    </row>
    <row r="363">
      <c r="J363">
        <f>IF(G363="","",IFERROR(IF(G363="infusing",IFERROR(LOOKUP(2,1/ISNUMBER(SEARCH(_lookup!$D$3:$D$4,H363)),_lookup!$E$3:$E$4),"INT"),VLOOKUP(G363,_lookup!$A$3:$B$14,2,FALSE)),""))</f>
        <v/>
      </c>
      <c r="K363">
        <f>IF(F363&lt;&gt;"weapon","",IF(G363="miscellaneous","1-4",IF(I363="","",IFERROR(VLOOKUP(I363&amp;"|"&amp;IF(LEFT(H363,2)="2H",2,1)&amp;"|"&amp;IF(G363="slashing",1,0),_lookup!$G$3:$H$18,2,FALSE),""))))</f>
        <v/>
      </c>
      <c r="L363">
        <f>IF(K363="","",IF(OR(G363="channeling",G363="infusing"),"Magical",IF(G363="blocking","Anti-Physical",IF(G363="warding","Anti-Magical","Physical"))))</f>
        <v/>
      </c>
      <c r="O363">
        <f>IF(F363&lt;&gt;"armor","","TBD")</f>
        <v/>
      </c>
      <c r="P363">
        <f>IF(O363="","",IF(OR(G363="channeling",G363="infusing"),"Magical",IF(G363="blocking","Anti-Physical",IF(G363="warding","Anti-Magical","Physical"))))</f>
        <v/>
      </c>
    </row>
    <row r="364">
      <c r="J364">
        <f>IF(G364="","",IFERROR(IF(G364="infusing",IFERROR(LOOKUP(2,1/ISNUMBER(SEARCH(_lookup!$D$3:$D$4,H364)),_lookup!$E$3:$E$4),"INT"),VLOOKUP(G364,_lookup!$A$3:$B$14,2,FALSE)),""))</f>
        <v/>
      </c>
      <c r="K364">
        <f>IF(F364&lt;&gt;"weapon","",IF(G364="miscellaneous","1-4",IF(I364="","",IFERROR(VLOOKUP(I364&amp;"|"&amp;IF(LEFT(H364,2)="2H",2,1)&amp;"|"&amp;IF(G364="slashing",1,0),_lookup!$G$3:$H$18,2,FALSE),""))))</f>
        <v/>
      </c>
      <c r="L364">
        <f>IF(K364="","",IF(OR(G364="channeling",G364="infusing"),"Magical",IF(G364="blocking","Anti-Physical",IF(G364="warding","Anti-Magical","Physical"))))</f>
        <v/>
      </c>
      <c r="O364">
        <f>IF(F364&lt;&gt;"armor","","TBD")</f>
        <v/>
      </c>
      <c r="P364">
        <f>IF(O364="","",IF(OR(G364="channeling",G364="infusing"),"Magical",IF(G364="blocking","Anti-Physical",IF(G364="warding","Anti-Magical","Physical"))))</f>
        <v/>
      </c>
    </row>
    <row r="365">
      <c r="J365">
        <f>IF(G365="","",IFERROR(IF(G365="infusing",IFERROR(LOOKUP(2,1/ISNUMBER(SEARCH(_lookup!$D$3:$D$4,H365)),_lookup!$E$3:$E$4),"INT"),VLOOKUP(G365,_lookup!$A$3:$B$14,2,FALSE)),""))</f>
        <v/>
      </c>
      <c r="K365">
        <f>IF(F365&lt;&gt;"weapon","",IF(G365="miscellaneous","1-4",IF(I365="","",IFERROR(VLOOKUP(I365&amp;"|"&amp;IF(LEFT(H365,2)="2H",2,1)&amp;"|"&amp;IF(G365="slashing",1,0),_lookup!$G$3:$H$18,2,FALSE),""))))</f>
        <v/>
      </c>
      <c r="L365">
        <f>IF(K365="","",IF(OR(G365="channeling",G365="infusing"),"Magical",IF(G365="blocking","Anti-Physical",IF(G365="warding","Anti-Magical","Physical"))))</f>
        <v/>
      </c>
      <c r="O365">
        <f>IF(F365&lt;&gt;"armor","","TBD")</f>
        <v/>
      </c>
      <c r="P365">
        <f>IF(O365="","",IF(OR(G365="channeling",G365="infusing"),"Magical",IF(G365="blocking","Anti-Physical",IF(G365="warding","Anti-Magical","Physical"))))</f>
        <v/>
      </c>
    </row>
    <row r="366">
      <c r="J366">
        <f>IF(G366="","",IFERROR(IF(G366="infusing",IFERROR(LOOKUP(2,1/ISNUMBER(SEARCH(_lookup!$D$3:$D$4,H366)),_lookup!$E$3:$E$4),"INT"),VLOOKUP(G366,_lookup!$A$3:$B$14,2,FALSE)),""))</f>
        <v/>
      </c>
      <c r="K366">
        <f>IF(F366&lt;&gt;"weapon","",IF(G366="miscellaneous","1-4",IF(I366="","",IFERROR(VLOOKUP(I366&amp;"|"&amp;IF(LEFT(H366,2)="2H",2,1)&amp;"|"&amp;IF(G366="slashing",1,0),_lookup!$G$3:$H$18,2,FALSE),""))))</f>
        <v/>
      </c>
      <c r="L366">
        <f>IF(K366="","",IF(OR(G366="channeling",G366="infusing"),"Magical",IF(G366="blocking","Anti-Physical",IF(G366="warding","Anti-Magical","Physical"))))</f>
        <v/>
      </c>
      <c r="O366">
        <f>IF(F366&lt;&gt;"armor","","TBD")</f>
        <v/>
      </c>
      <c r="P366">
        <f>IF(O366="","",IF(OR(G366="channeling",G366="infusing"),"Magical",IF(G366="blocking","Anti-Physical",IF(G366="warding","Anti-Magical","Physical"))))</f>
        <v/>
      </c>
    </row>
    <row r="367">
      <c r="J367">
        <f>IF(G367="","",IFERROR(IF(G367="infusing",IFERROR(LOOKUP(2,1/ISNUMBER(SEARCH(_lookup!$D$3:$D$4,H367)),_lookup!$E$3:$E$4),"INT"),VLOOKUP(G367,_lookup!$A$3:$B$14,2,FALSE)),""))</f>
        <v/>
      </c>
      <c r="K367">
        <f>IF(F367&lt;&gt;"weapon","",IF(G367="miscellaneous","1-4",IF(I367="","",IFERROR(VLOOKUP(I367&amp;"|"&amp;IF(LEFT(H367,2)="2H",2,1)&amp;"|"&amp;IF(G367="slashing",1,0),_lookup!$G$3:$H$18,2,FALSE),""))))</f>
        <v/>
      </c>
      <c r="L367">
        <f>IF(K367="","",IF(OR(G367="channeling",G367="infusing"),"Magical",IF(G367="blocking","Anti-Physical",IF(G367="warding","Anti-Magical","Physical"))))</f>
        <v/>
      </c>
      <c r="O367">
        <f>IF(F367&lt;&gt;"armor","","TBD")</f>
        <v/>
      </c>
      <c r="P367">
        <f>IF(O367="","",IF(OR(G367="channeling",G367="infusing"),"Magical",IF(G367="blocking","Anti-Physical",IF(G367="warding","Anti-Magical","Physical"))))</f>
        <v/>
      </c>
    </row>
    <row r="368">
      <c r="J368">
        <f>IF(G368="","",IFERROR(IF(G368="infusing",IFERROR(LOOKUP(2,1/ISNUMBER(SEARCH(_lookup!$D$3:$D$4,H368)),_lookup!$E$3:$E$4),"INT"),VLOOKUP(G368,_lookup!$A$3:$B$14,2,FALSE)),""))</f>
        <v/>
      </c>
      <c r="K368">
        <f>IF(F368&lt;&gt;"weapon","",IF(G368="miscellaneous","1-4",IF(I368="","",IFERROR(VLOOKUP(I368&amp;"|"&amp;IF(LEFT(H368,2)="2H",2,1)&amp;"|"&amp;IF(G368="slashing",1,0),_lookup!$G$3:$H$18,2,FALSE),""))))</f>
        <v/>
      </c>
      <c r="L368">
        <f>IF(K368="","",IF(OR(G368="channeling",G368="infusing"),"Magical",IF(G368="blocking","Anti-Physical",IF(G368="warding","Anti-Magical","Physical"))))</f>
        <v/>
      </c>
      <c r="O368">
        <f>IF(F368&lt;&gt;"armor","","TBD")</f>
        <v/>
      </c>
      <c r="P368">
        <f>IF(O368="","",IF(OR(G368="channeling",G368="infusing"),"Magical",IF(G368="blocking","Anti-Physical",IF(G368="warding","Anti-Magical","Physical"))))</f>
        <v/>
      </c>
    </row>
    <row r="369">
      <c r="J369">
        <f>IF(G369="","",IFERROR(IF(G369="infusing",IFERROR(LOOKUP(2,1/ISNUMBER(SEARCH(_lookup!$D$3:$D$4,H369)),_lookup!$E$3:$E$4),"INT"),VLOOKUP(G369,_lookup!$A$3:$B$14,2,FALSE)),""))</f>
        <v/>
      </c>
      <c r="K369">
        <f>IF(F369&lt;&gt;"weapon","",IF(G369="miscellaneous","1-4",IF(I369="","",IFERROR(VLOOKUP(I369&amp;"|"&amp;IF(LEFT(H369,2)="2H",2,1)&amp;"|"&amp;IF(G369="slashing",1,0),_lookup!$G$3:$H$18,2,FALSE),""))))</f>
        <v/>
      </c>
      <c r="L369">
        <f>IF(K369="","",IF(OR(G369="channeling",G369="infusing"),"Magical",IF(G369="blocking","Anti-Physical",IF(G369="warding","Anti-Magical","Physical"))))</f>
        <v/>
      </c>
      <c r="O369">
        <f>IF(F369&lt;&gt;"armor","","TBD")</f>
        <v/>
      </c>
      <c r="P369">
        <f>IF(O369="","",IF(OR(G369="channeling",G369="infusing"),"Magical",IF(G369="blocking","Anti-Physical",IF(G369="warding","Anti-Magical","Physical"))))</f>
        <v/>
      </c>
    </row>
    <row r="370">
      <c r="J370">
        <f>IF(G370="","",IFERROR(IF(G370="infusing",IFERROR(LOOKUP(2,1/ISNUMBER(SEARCH(_lookup!$D$3:$D$4,H370)),_lookup!$E$3:$E$4),"INT"),VLOOKUP(G370,_lookup!$A$3:$B$14,2,FALSE)),""))</f>
        <v/>
      </c>
      <c r="K370">
        <f>IF(F370&lt;&gt;"weapon","",IF(G370="miscellaneous","1-4",IF(I370="","",IFERROR(VLOOKUP(I370&amp;"|"&amp;IF(LEFT(H370,2)="2H",2,1)&amp;"|"&amp;IF(G370="slashing",1,0),_lookup!$G$3:$H$18,2,FALSE),""))))</f>
        <v/>
      </c>
      <c r="L370">
        <f>IF(K370="","",IF(OR(G370="channeling",G370="infusing"),"Magical",IF(G370="blocking","Anti-Physical",IF(G370="warding","Anti-Magical","Physical"))))</f>
        <v/>
      </c>
      <c r="O370">
        <f>IF(F370&lt;&gt;"armor","","TBD")</f>
        <v/>
      </c>
      <c r="P370">
        <f>IF(O370="","",IF(OR(G370="channeling",G370="infusing"),"Magical",IF(G370="blocking","Anti-Physical",IF(G370="warding","Anti-Magical","Physical"))))</f>
        <v/>
      </c>
    </row>
    <row r="371">
      <c r="J371">
        <f>IF(G371="","",IFERROR(IF(G371="infusing",IFERROR(LOOKUP(2,1/ISNUMBER(SEARCH(_lookup!$D$3:$D$4,H371)),_lookup!$E$3:$E$4),"INT"),VLOOKUP(G371,_lookup!$A$3:$B$14,2,FALSE)),""))</f>
        <v/>
      </c>
      <c r="K371">
        <f>IF(F371&lt;&gt;"weapon","",IF(G371="miscellaneous","1-4",IF(I371="","",IFERROR(VLOOKUP(I371&amp;"|"&amp;IF(LEFT(H371,2)="2H",2,1)&amp;"|"&amp;IF(G371="slashing",1,0),_lookup!$G$3:$H$18,2,FALSE),""))))</f>
        <v/>
      </c>
      <c r="L371">
        <f>IF(K371="","",IF(OR(G371="channeling",G371="infusing"),"Magical",IF(G371="blocking","Anti-Physical",IF(G371="warding","Anti-Magical","Physical"))))</f>
        <v/>
      </c>
      <c r="O371">
        <f>IF(F371&lt;&gt;"armor","","TBD")</f>
        <v/>
      </c>
      <c r="P371">
        <f>IF(O371="","",IF(OR(G371="channeling",G371="infusing"),"Magical",IF(G371="blocking","Anti-Physical",IF(G371="warding","Anti-Magical","Physical"))))</f>
        <v/>
      </c>
    </row>
    <row r="372">
      <c r="J372">
        <f>IF(G372="","",IFERROR(IF(G372="infusing",IFERROR(LOOKUP(2,1/ISNUMBER(SEARCH(_lookup!$D$3:$D$4,H372)),_lookup!$E$3:$E$4),"INT"),VLOOKUP(G372,_lookup!$A$3:$B$14,2,FALSE)),""))</f>
        <v/>
      </c>
      <c r="K372">
        <f>IF(F372&lt;&gt;"weapon","",IF(G372="miscellaneous","1-4",IF(I372="","",IFERROR(VLOOKUP(I372&amp;"|"&amp;IF(LEFT(H372,2)="2H",2,1)&amp;"|"&amp;IF(G372="slashing",1,0),_lookup!$G$3:$H$18,2,FALSE),""))))</f>
        <v/>
      </c>
      <c r="L372">
        <f>IF(K372="","",IF(OR(G372="channeling",G372="infusing"),"Magical",IF(G372="blocking","Anti-Physical",IF(G372="warding","Anti-Magical","Physical"))))</f>
        <v/>
      </c>
      <c r="O372">
        <f>IF(F372&lt;&gt;"armor","","TBD")</f>
        <v/>
      </c>
      <c r="P372">
        <f>IF(O372="","",IF(OR(G372="channeling",G372="infusing"),"Magical",IF(G372="blocking","Anti-Physical",IF(G372="warding","Anti-Magical","Physical"))))</f>
        <v/>
      </c>
    </row>
    <row r="373">
      <c r="J373">
        <f>IF(G373="","",IFERROR(IF(G373="infusing",IFERROR(LOOKUP(2,1/ISNUMBER(SEARCH(_lookup!$D$3:$D$4,H373)),_lookup!$E$3:$E$4),"INT"),VLOOKUP(G373,_lookup!$A$3:$B$14,2,FALSE)),""))</f>
        <v/>
      </c>
      <c r="K373">
        <f>IF(F373&lt;&gt;"weapon","",IF(G373="miscellaneous","1-4",IF(I373="","",IFERROR(VLOOKUP(I373&amp;"|"&amp;IF(LEFT(H373,2)="2H",2,1)&amp;"|"&amp;IF(G373="slashing",1,0),_lookup!$G$3:$H$18,2,FALSE),""))))</f>
        <v/>
      </c>
      <c r="L373">
        <f>IF(K373="","",IF(OR(G373="channeling",G373="infusing"),"Magical",IF(G373="blocking","Anti-Physical",IF(G373="warding","Anti-Magical","Physical"))))</f>
        <v/>
      </c>
      <c r="O373">
        <f>IF(F373&lt;&gt;"armor","","TBD")</f>
        <v/>
      </c>
      <c r="P373">
        <f>IF(O373="","",IF(OR(G373="channeling",G373="infusing"),"Magical",IF(G373="blocking","Anti-Physical",IF(G373="warding","Anti-Magical","Physical"))))</f>
        <v/>
      </c>
    </row>
    <row r="374">
      <c r="J374">
        <f>IF(G374="","",IFERROR(IF(G374="infusing",IFERROR(LOOKUP(2,1/ISNUMBER(SEARCH(_lookup!$D$3:$D$4,H374)),_lookup!$E$3:$E$4),"INT"),VLOOKUP(G374,_lookup!$A$3:$B$14,2,FALSE)),""))</f>
        <v/>
      </c>
      <c r="K374">
        <f>IF(F374&lt;&gt;"weapon","",IF(G374="miscellaneous","1-4",IF(I374="","",IFERROR(VLOOKUP(I374&amp;"|"&amp;IF(LEFT(H374,2)="2H",2,1)&amp;"|"&amp;IF(G374="slashing",1,0),_lookup!$G$3:$H$18,2,FALSE),""))))</f>
        <v/>
      </c>
      <c r="L374">
        <f>IF(K374="","",IF(OR(G374="channeling",G374="infusing"),"Magical",IF(G374="blocking","Anti-Physical",IF(G374="warding","Anti-Magical","Physical"))))</f>
        <v/>
      </c>
      <c r="O374">
        <f>IF(F374&lt;&gt;"armor","","TBD")</f>
        <v/>
      </c>
      <c r="P374">
        <f>IF(O374="","",IF(OR(G374="channeling",G374="infusing"),"Magical",IF(G374="blocking","Anti-Physical",IF(G374="warding","Anti-Magical","Physical"))))</f>
        <v/>
      </c>
    </row>
    <row r="375">
      <c r="J375">
        <f>IF(G375="","",IFERROR(IF(G375="infusing",IFERROR(LOOKUP(2,1/ISNUMBER(SEARCH(_lookup!$D$3:$D$4,H375)),_lookup!$E$3:$E$4),"INT"),VLOOKUP(G375,_lookup!$A$3:$B$14,2,FALSE)),""))</f>
        <v/>
      </c>
      <c r="K375">
        <f>IF(F375&lt;&gt;"weapon","",IF(G375="miscellaneous","1-4",IF(I375="","",IFERROR(VLOOKUP(I375&amp;"|"&amp;IF(LEFT(H375,2)="2H",2,1)&amp;"|"&amp;IF(G375="slashing",1,0),_lookup!$G$3:$H$18,2,FALSE),""))))</f>
        <v/>
      </c>
      <c r="L375">
        <f>IF(K375="","",IF(OR(G375="channeling",G375="infusing"),"Magical",IF(G375="blocking","Anti-Physical",IF(G375="warding","Anti-Magical","Physical"))))</f>
        <v/>
      </c>
      <c r="O375">
        <f>IF(F375&lt;&gt;"armor","","TBD")</f>
        <v/>
      </c>
      <c r="P375">
        <f>IF(O375="","",IF(OR(G375="channeling",G375="infusing"),"Magical",IF(G375="blocking","Anti-Physical",IF(G375="warding","Anti-Magical","Physical"))))</f>
        <v/>
      </c>
    </row>
    <row r="376">
      <c r="J376">
        <f>IF(G376="","",IFERROR(IF(G376="infusing",IFERROR(LOOKUP(2,1/ISNUMBER(SEARCH(_lookup!$D$3:$D$4,H376)),_lookup!$E$3:$E$4),"INT"),VLOOKUP(G376,_lookup!$A$3:$B$14,2,FALSE)),""))</f>
        <v/>
      </c>
      <c r="K376">
        <f>IF(F376&lt;&gt;"weapon","",IF(G376="miscellaneous","1-4",IF(I376="","",IFERROR(VLOOKUP(I376&amp;"|"&amp;IF(LEFT(H376,2)="2H",2,1)&amp;"|"&amp;IF(G376="slashing",1,0),_lookup!$G$3:$H$18,2,FALSE),""))))</f>
        <v/>
      </c>
      <c r="L376">
        <f>IF(K376="","",IF(OR(G376="channeling",G376="infusing"),"Magical",IF(G376="blocking","Anti-Physical",IF(G376="warding","Anti-Magical","Physical"))))</f>
        <v/>
      </c>
      <c r="O376">
        <f>IF(F376&lt;&gt;"armor","","TBD")</f>
        <v/>
      </c>
      <c r="P376">
        <f>IF(O376="","",IF(OR(G376="channeling",G376="infusing"),"Magical",IF(G376="blocking","Anti-Physical",IF(G376="warding","Anti-Magical","Physical"))))</f>
        <v/>
      </c>
    </row>
    <row r="377">
      <c r="J377">
        <f>IF(G377="","",IFERROR(IF(G377="infusing",IFERROR(LOOKUP(2,1/ISNUMBER(SEARCH(_lookup!$D$3:$D$4,H377)),_lookup!$E$3:$E$4),"INT"),VLOOKUP(G377,_lookup!$A$3:$B$14,2,FALSE)),""))</f>
        <v/>
      </c>
      <c r="K377">
        <f>IF(F377&lt;&gt;"weapon","",IF(G377="miscellaneous","1-4",IF(I377="","",IFERROR(VLOOKUP(I377&amp;"|"&amp;IF(LEFT(H377,2)="2H",2,1)&amp;"|"&amp;IF(G377="slashing",1,0),_lookup!$G$3:$H$18,2,FALSE),""))))</f>
        <v/>
      </c>
      <c r="L377">
        <f>IF(K377="","",IF(OR(G377="channeling",G377="infusing"),"Magical",IF(G377="blocking","Anti-Physical",IF(G377="warding","Anti-Magical","Physical"))))</f>
        <v/>
      </c>
      <c r="O377">
        <f>IF(F377&lt;&gt;"armor","","TBD")</f>
        <v/>
      </c>
      <c r="P377">
        <f>IF(O377="","",IF(OR(G377="channeling",G377="infusing"),"Magical",IF(G377="blocking","Anti-Physical",IF(G377="warding","Anti-Magical","Physical"))))</f>
        <v/>
      </c>
    </row>
    <row r="378">
      <c r="J378">
        <f>IF(G378="","",IFERROR(IF(G378="infusing",IFERROR(LOOKUP(2,1/ISNUMBER(SEARCH(_lookup!$D$3:$D$4,H378)),_lookup!$E$3:$E$4),"INT"),VLOOKUP(G378,_lookup!$A$3:$B$14,2,FALSE)),""))</f>
        <v/>
      </c>
      <c r="K378">
        <f>IF(F378&lt;&gt;"weapon","",IF(G378="miscellaneous","1-4",IF(I378="","",IFERROR(VLOOKUP(I378&amp;"|"&amp;IF(LEFT(H378,2)="2H",2,1)&amp;"|"&amp;IF(G378="slashing",1,0),_lookup!$G$3:$H$18,2,FALSE),""))))</f>
        <v/>
      </c>
      <c r="L378">
        <f>IF(K378="","",IF(OR(G378="channeling",G378="infusing"),"Magical",IF(G378="blocking","Anti-Physical",IF(G378="warding","Anti-Magical","Physical"))))</f>
        <v/>
      </c>
      <c r="O378">
        <f>IF(F378&lt;&gt;"armor","","TBD")</f>
        <v/>
      </c>
      <c r="P378">
        <f>IF(O378="","",IF(OR(G378="channeling",G378="infusing"),"Magical",IF(G378="blocking","Anti-Physical",IF(G378="warding","Anti-Magical","Physical"))))</f>
        <v/>
      </c>
    </row>
    <row r="379">
      <c r="J379">
        <f>IF(G379="","",IFERROR(IF(G379="infusing",IFERROR(LOOKUP(2,1/ISNUMBER(SEARCH(_lookup!$D$3:$D$4,H379)),_lookup!$E$3:$E$4),"INT"),VLOOKUP(G379,_lookup!$A$3:$B$14,2,FALSE)),""))</f>
        <v/>
      </c>
      <c r="K379">
        <f>IF(F379&lt;&gt;"weapon","",IF(G379="miscellaneous","1-4",IF(I379="","",IFERROR(VLOOKUP(I379&amp;"|"&amp;IF(LEFT(H379,2)="2H",2,1)&amp;"|"&amp;IF(G379="slashing",1,0),_lookup!$G$3:$H$18,2,FALSE),""))))</f>
        <v/>
      </c>
      <c r="L379">
        <f>IF(K379="","",IF(OR(G379="channeling",G379="infusing"),"Magical",IF(G379="blocking","Anti-Physical",IF(G379="warding","Anti-Magical","Physical"))))</f>
        <v/>
      </c>
      <c r="O379">
        <f>IF(F379&lt;&gt;"armor","","TBD")</f>
        <v/>
      </c>
      <c r="P379">
        <f>IF(O379="","",IF(OR(G379="channeling",G379="infusing"),"Magical",IF(G379="blocking","Anti-Physical",IF(G379="warding","Anti-Magical","Physical"))))</f>
        <v/>
      </c>
    </row>
    <row r="380">
      <c r="J380">
        <f>IF(G380="","",IFERROR(IF(G380="infusing",IFERROR(LOOKUP(2,1/ISNUMBER(SEARCH(_lookup!$D$3:$D$4,H380)),_lookup!$E$3:$E$4),"INT"),VLOOKUP(G380,_lookup!$A$3:$B$14,2,FALSE)),""))</f>
        <v/>
      </c>
      <c r="K380">
        <f>IF(F380&lt;&gt;"weapon","",IF(G380="miscellaneous","1-4",IF(I380="","",IFERROR(VLOOKUP(I380&amp;"|"&amp;IF(LEFT(H380,2)="2H",2,1)&amp;"|"&amp;IF(G380="slashing",1,0),_lookup!$G$3:$H$18,2,FALSE),""))))</f>
        <v/>
      </c>
      <c r="L380">
        <f>IF(K380="","",IF(OR(G380="channeling",G380="infusing"),"Magical",IF(G380="blocking","Anti-Physical",IF(G380="warding","Anti-Magical","Physical"))))</f>
        <v/>
      </c>
      <c r="O380">
        <f>IF(F380&lt;&gt;"armor","","TBD")</f>
        <v/>
      </c>
      <c r="P380">
        <f>IF(O380="","",IF(OR(G380="channeling",G380="infusing"),"Magical",IF(G380="blocking","Anti-Physical",IF(G380="warding","Anti-Magical","Physical"))))</f>
        <v/>
      </c>
    </row>
    <row r="381">
      <c r="J381">
        <f>IF(G381="","",IFERROR(IF(G381="infusing",IFERROR(LOOKUP(2,1/ISNUMBER(SEARCH(_lookup!$D$3:$D$4,H381)),_lookup!$E$3:$E$4),"INT"),VLOOKUP(G381,_lookup!$A$3:$B$14,2,FALSE)),""))</f>
        <v/>
      </c>
      <c r="K381">
        <f>IF(F381&lt;&gt;"weapon","",IF(G381="miscellaneous","1-4",IF(I381="","",IFERROR(VLOOKUP(I381&amp;"|"&amp;IF(LEFT(H381,2)="2H",2,1)&amp;"|"&amp;IF(G381="slashing",1,0),_lookup!$G$3:$H$18,2,FALSE),""))))</f>
        <v/>
      </c>
      <c r="L381">
        <f>IF(K381="","",IF(OR(G381="channeling",G381="infusing"),"Magical",IF(G381="blocking","Anti-Physical",IF(G381="warding","Anti-Magical","Physical"))))</f>
        <v/>
      </c>
      <c r="O381">
        <f>IF(F381&lt;&gt;"armor","","TBD")</f>
        <v/>
      </c>
      <c r="P381">
        <f>IF(O381="","",IF(OR(G381="channeling",G381="infusing"),"Magical",IF(G381="blocking","Anti-Physical",IF(G381="warding","Anti-Magical","Physical"))))</f>
        <v/>
      </c>
    </row>
    <row r="382">
      <c r="J382">
        <f>IF(G382="","",IFERROR(IF(G382="infusing",IFERROR(LOOKUP(2,1/ISNUMBER(SEARCH(_lookup!$D$3:$D$4,H382)),_lookup!$E$3:$E$4),"INT"),VLOOKUP(G382,_lookup!$A$3:$B$14,2,FALSE)),""))</f>
        <v/>
      </c>
      <c r="K382">
        <f>IF(F382&lt;&gt;"weapon","",IF(G382="miscellaneous","1-4",IF(I382="","",IFERROR(VLOOKUP(I382&amp;"|"&amp;IF(LEFT(H382,2)="2H",2,1)&amp;"|"&amp;IF(G382="slashing",1,0),_lookup!$G$3:$H$18,2,FALSE),""))))</f>
        <v/>
      </c>
      <c r="L382">
        <f>IF(K382="","",IF(OR(G382="channeling",G382="infusing"),"Magical",IF(G382="blocking","Anti-Physical",IF(G382="warding","Anti-Magical","Physical"))))</f>
        <v/>
      </c>
      <c r="O382">
        <f>IF(F382&lt;&gt;"armor","","TBD")</f>
        <v/>
      </c>
      <c r="P382">
        <f>IF(O382="","",IF(OR(G382="channeling",G382="infusing"),"Magical",IF(G382="blocking","Anti-Physical",IF(G382="warding","Anti-Magical","Physical"))))</f>
        <v/>
      </c>
    </row>
    <row r="383">
      <c r="J383">
        <f>IF(G383="","",IFERROR(IF(G383="infusing",IFERROR(LOOKUP(2,1/ISNUMBER(SEARCH(_lookup!$D$3:$D$4,H383)),_lookup!$E$3:$E$4),"INT"),VLOOKUP(G383,_lookup!$A$3:$B$14,2,FALSE)),""))</f>
        <v/>
      </c>
      <c r="K383">
        <f>IF(F383&lt;&gt;"weapon","",IF(G383="miscellaneous","1-4",IF(I383="","",IFERROR(VLOOKUP(I383&amp;"|"&amp;IF(LEFT(H383,2)="2H",2,1)&amp;"|"&amp;IF(G383="slashing",1,0),_lookup!$G$3:$H$18,2,FALSE),""))))</f>
        <v/>
      </c>
      <c r="L383">
        <f>IF(K383="","",IF(OR(G383="channeling",G383="infusing"),"Magical",IF(G383="blocking","Anti-Physical",IF(G383="warding","Anti-Magical","Physical"))))</f>
        <v/>
      </c>
      <c r="O383">
        <f>IF(F383&lt;&gt;"armor","","TBD")</f>
        <v/>
      </c>
      <c r="P383">
        <f>IF(O383="","",IF(OR(G383="channeling",G383="infusing"),"Magical",IF(G383="blocking","Anti-Physical",IF(G383="warding","Anti-Magical","Physical"))))</f>
        <v/>
      </c>
    </row>
    <row r="384">
      <c r="J384">
        <f>IF(G384="","",IFERROR(IF(G384="infusing",IFERROR(LOOKUP(2,1/ISNUMBER(SEARCH(_lookup!$D$3:$D$4,H384)),_lookup!$E$3:$E$4),"INT"),VLOOKUP(G384,_lookup!$A$3:$B$14,2,FALSE)),""))</f>
        <v/>
      </c>
      <c r="K384">
        <f>IF(F384&lt;&gt;"weapon","",IF(G384="miscellaneous","1-4",IF(I384="","",IFERROR(VLOOKUP(I384&amp;"|"&amp;IF(LEFT(H384,2)="2H",2,1)&amp;"|"&amp;IF(G384="slashing",1,0),_lookup!$G$3:$H$18,2,FALSE),""))))</f>
        <v/>
      </c>
      <c r="L384">
        <f>IF(K384="","",IF(OR(G384="channeling",G384="infusing"),"Magical",IF(G384="blocking","Anti-Physical",IF(G384="warding","Anti-Magical","Physical"))))</f>
        <v/>
      </c>
      <c r="O384">
        <f>IF(F384&lt;&gt;"armor","","TBD")</f>
        <v/>
      </c>
      <c r="P384">
        <f>IF(O384="","",IF(OR(G384="channeling",G384="infusing"),"Magical",IF(G384="blocking","Anti-Physical",IF(G384="warding","Anti-Magical","Physical"))))</f>
        <v/>
      </c>
    </row>
    <row r="385">
      <c r="J385">
        <f>IF(G385="","",IFERROR(IF(G385="infusing",IFERROR(LOOKUP(2,1/ISNUMBER(SEARCH(_lookup!$D$3:$D$4,H385)),_lookup!$E$3:$E$4),"INT"),VLOOKUP(G385,_lookup!$A$3:$B$14,2,FALSE)),""))</f>
        <v/>
      </c>
      <c r="K385">
        <f>IF(F385&lt;&gt;"weapon","",IF(G385="miscellaneous","1-4",IF(I385="","",IFERROR(VLOOKUP(I385&amp;"|"&amp;IF(LEFT(H385,2)="2H",2,1)&amp;"|"&amp;IF(G385="slashing",1,0),_lookup!$G$3:$H$18,2,FALSE),""))))</f>
        <v/>
      </c>
      <c r="L385">
        <f>IF(K385="","",IF(OR(G385="channeling",G385="infusing"),"Magical",IF(G385="blocking","Anti-Physical",IF(G385="warding","Anti-Magical","Physical"))))</f>
        <v/>
      </c>
      <c r="O385">
        <f>IF(F385&lt;&gt;"armor","","TBD")</f>
        <v/>
      </c>
      <c r="P385">
        <f>IF(O385="","",IF(OR(G385="channeling",G385="infusing"),"Magical",IF(G385="blocking","Anti-Physical",IF(G385="warding","Anti-Magical","Physical"))))</f>
        <v/>
      </c>
    </row>
    <row r="386">
      <c r="J386">
        <f>IF(G386="","",IFERROR(IF(G386="infusing",IFERROR(LOOKUP(2,1/ISNUMBER(SEARCH(_lookup!$D$3:$D$4,H386)),_lookup!$E$3:$E$4),"INT"),VLOOKUP(G386,_lookup!$A$3:$B$14,2,FALSE)),""))</f>
        <v/>
      </c>
      <c r="K386">
        <f>IF(F386&lt;&gt;"weapon","",IF(G386="miscellaneous","1-4",IF(I386="","",IFERROR(VLOOKUP(I386&amp;"|"&amp;IF(LEFT(H386,2)="2H",2,1)&amp;"|"&amp;IF(G386="slashing",1,0),_lookup!$G$3:$H$18,2,FALSE),""))))</f>
        <v/>
      </c>
      <c r="L386">
        <f>IF(K386="","",IF(OR(G386="channeling",G386="infusing"),"Magical",IF(G386="blocking","Anti-Physical",IF(G386="warding","Anti-Magical","Physical"))))</f>
        <v/>
      </c>
      <c r="O386">
        <f>IF(F386&lt;&gt;"armor","","TBD")</f>
        <v/>
      </c>
      <c r="P386">
        <f>IF(O386="","",IF(OR(G386="channeling",G386="infusing"),"Magical",IF(G386="blocking","Anti-Physical",IF(G386="warding","Anti-Magical","Physical"))))</f>
        <v/>
      </c>
    </row>
    <row r="387">
      <c r="J387">
        <f>IF(G387="","",IFERROR(IF(G387="infusing",IFERROR(LOOKUP(2,1/ISNUMBER(SEARCH(_lookup!$D$3:$D$4,H387)),_lookup!$E$3:$E$4),"INT"),VLOOKUP(G387,_lookup!$A$3:$B$14,2,FALSE)),""))</f>
        <v/>
      </c>
      <c r="K387">
        <f>IF(F387&lt;&gt;"weapon","",IF(G387="miscellaneous","1-4",IF(I387="","",IFERROR(VLOOKUP(I387&amp;"|"&amp;IF(LEFT(H387,2)="2H",2,1)&amp;"|"&amp;IF(G387="slashing",1,0),_lookup!$G$3:$H$18,2,FALSE),""))))</f>
        <v/>
      </c>
      <c r="L387">
        <f>IF(K387="","",IF(OR(G387="channeling",G387="infusing"),"Magical",IF(G387="blocking","Anti-Physical",IF(G387="warding","Anti-Magical","Physical"))))</f>
        <v/>
      </c>
      <c r="O387">
        <f>IF(F387&lt;&gt;"armor","","TBD")</f>
        <v/>
      </c>
      <c r="P387">
        <f>IF(O387="","",IF(OR(G387="channeling",G387="infusing"),"Magical",IF(G387="blocking","Anti-Physical",IF(G387="warding","Anti-Magical","Physical"))))</f>
        <v/>
      </c>
    </row>
    <row r="388">
      <c r="J388">
        <f>IF(G388="","",IFERROR(IF(G388="infusing",IFERROR(LOOKUP(2,1/ISNUMBER(SEARCH(_lookup!$D$3:$D$4,H388)),_lookup!$E$3:$E$4),"INT"),VLOOKUP(G388,_lookup!$A$3:$B$14,2,FALSE)),""))</f>
        <v/>
      </c>
      <c r="K388">
        <f>IF(F388&lt;&gt;"weapon","",IF(G388="miscellaneous","1-4",IF(I388="","",IFERROR(VLOOKUP(I388&amp;"|"&amp;IF(LEFT(H388,2)="2H",2,1)&amp;"|"&amp;IF(G388="slashing",1,0),_lookup!$G$3:$H$18,2,FALSE),""))))</f>
        <v/>
      </c>
      <c r="L388">
        <f>IF(K388="","",IF(OR(G388="channeling",G388="infusing"),"Magical",IF(G388="blocking","Anti-Physical",IF(G388="warding","Anti-Magical","Physical"))))</f>
        <v/>
      </c>
      <c r="O388">
        <f>IF(F388&lt;&gt;"armor","","TBD")</f>
        <v/>
      </c>
      <c r="P388">
        <f>IF(O388="","",IF(OR(G388="channeling",G388="infusing"),"Magical",IF(G388="blocking","Anti-Physical",IF(G388="warding","Anti-Magical","Physical"))))</f>
        <v/>
      </c>
    </row>
    <row r="389">
      <c r="J389">
        <f>IF(G389="","",IFERROR(IF(G389="infusing",IFERROR(LOOKUP(2,1/ISNUMBER(SEARCH(_lookup!$D$3:$D$4,H389)),_lookup!$E$3:$E$4),"INT"),VLOOKUP(G389,_lookup!$A$3:$B$14,2,FALSE)),""))</f>
        <v/>
      </c>
      <c r="K389">
        <f>IF(F389&lt;&gt;"weapon","",IF(G389="miscellaneous","1-4",IF(I389="","",IFERROR(VLOOKUP(I389&amp;"|"&amp;IF(LEFT(H389,2)="2H",2,1)&amp;"|"&amp;IF(G389="slashing",1,0),_lookup!$G$3:$H$18,2,FALSE),""))))</f>
        <v/>
      </c>
      <c r="L389">
        <f>IF(K389="","",IF(OR(G389="channeling",G389="infusing"),"Magical",IF(G389="blocking","Anti-Physical",IF(G389="warding","Anti-Magical","Physical"))))</f>
        <v/>
      </c>
      <c r="O389">
        <f>IF(F389&lt;&gt;"armor","","TBD")</f>
        <v/>
      </c>
      <c r="P389">
        <f>IF(O389="","",IF(OR(G389="channeling",G389="infusing"),"Magical",IF(G389="blocking","Anti-Physical",IF(G389="warding","Anti-Magical","Physical"))))</f>
        <v/>
      </c>
    </row>
    <row r="390">
      <c r="J390">
        <f>IF(G390="","",IFERROR(IF(G390="infusing",IFERROR(LOOKUP(2,1/ISNUMBER(SEARCH(_lookup!$D$3:$D$4,H390)),_lookup!$E$3:$E$4),"INT"),VLOOKUP(G390,_lookup!$A$3:$B$14,2,FALSE)),""))</f>
        <v/>
      </c>
      <c r="K390">
        <f>IF(F390&lt;&gt;"weapon","",IF(G390="miscellaneous","1-4",IF(I390="","",IFERROR(VLOOKUP(I390&amp;"|"&amp;IF(LEFT(H390,2)="2H",2,1)&amp;"|"&amp;IF(G390="slashing",1,0),_lookup!$G$3:$H$18,2,FALSE),""))))</f>
        <v/>
      </c>
      <c r="L390">
        <f>IF(K390="","",IF(OR(G390="channeling",G390="infusing"),"Magical",IF(G390="blocking","Anti-Physical",IF(G390="warding","Anti-Magical","Physical"))))</f>
        <v/>
      </c>
      <c r="O390">
        <f>IF(F390&lt;&gt;"armor","","TBD")</f>
        <v/>
      </c>
      <c r="P390">
        <f>IF(O390="","",IF(OR(G390="channeling",G390="infusing"),"Magical",IF(G390="blocking","Anti-Physical",IF(G390="warding","Anti-Magical","Physical"))))</f>
        <v/>
      </c>
    </row>
    <row r="391">
      <c r="J391">
        <f>IF(G391="","",IFERROR(IF(G391="infusing",IFERROR(LOOKUP(2,1/ISNUMBER(SEARCH(_lookup!$D$3:$D$4,H391)),_lookup!$E$3:$E$4),"INT"),VLOOKUP(G391,_lookup!$A$3:$B$14,2,FALSE)),""))</f>
        <v/>
      </c>
      <c r="K391">
        <f>IF(F391&lt;&gt;"weapon","",IF(G391="miscellaneous","1-4",IF(I391="","",IFERROR(VLOOKUP(I391&amp;"|"&amp;IF(LEFT(H391,2)="2H",2,1)&amp;"|"&amp;IF(G391="slashing",1,0),_lookup!$G$3:$H$18,2,FALSE),""))))</f>
        <v/>
      </c>
      <c r="L391">
        <f>IF(K391="","",IF(OR(G391="channeling",G391="infusing"),"Magical",IF(G391="blocking","Anti-Physical",IF(G391="warding","Anti-Magical","Physical"))))</f>
        <v/>
      </c>
      <c r="O391">
        <f>IF(F391&lt;&gt;"armor","","TBD")</f>
        <v/>
      </c>
      <c r="P391">
        <f>IF(O391="","",IF(OR(G391="channeling",G391="infusing"),"Magical",IF(G391="blocking","Anti-Physical",IF(G391="warding","Anti-Magical","Physical"))))</f>
        <v/>
      </c>
    </row>
    <row r="392">
      <c r="J392">
        <f>IF(G392="","",IFERROR(IF(G392="infusing",IFERROR(LOOKUP(2,1/ISNUMBER(SEARCH(_lookup!$D$3:$D$4,H392)),_lookup!$E$3:$E$4),"INT"),VLOOKUP(G392,_lookup!$A$3:$B$14,2,FALSE)),""))</f>
        <v/>
      </c>
      <c r="K392">
        <f>IF(F392&lt;&gt;"weapon","",IF(G392="miscellaneous","1-4",IF(I392="","",IFERROR(VLOOKUP(I392&amp;"|"&amp;IF(LEFT(H392,2)="2H",2,1)&amp;"|"&amp;IF(G392="slashing",1,0),_lookup!$G$3:$H$18,2,FALSE),""))))</f>
        <v/>
      </c>
      <c r="L392">
        <f>IF(K392="","",IF(OR(G392="channeling",G392="infusing"),"Magical",IF(G392="blocking","Anti-Physical",IF(G392="warding","Anti-Magical","Physical"))))</f>
        <v/>
      </c>
      <c r="O392">
        <f>IF(F392&lt;&gt;"armor","","TBD")</f>
        <v/>
      </c>
      <c r="P392">
        <f>IF(O392="","",IF(OR(G392="channeling",G392="infusing"),"Magical",IF(G392="blocking","Anti-Physical",IF(G392="warding","Anti-Magical","Physical"))))</f>
        <v/>
      </c>
    </row>
    <row r="393">
      <c r="J393">
        <f>IF(G393="","",IFERROR(IF(G393="infusing",IFERROR(LOOKUP(2,1/ISNUMBER(SEARCH(_lookup!$D$3:$D$4,H393)),_lookup!$E$3:$E$4),"INT"),VLOOKUP(G393,_lookup!$A$3:$B$14,2,FALSE)),""))</f>
        <v/>
      </c>
      <c r="K393">
        <f>IF(F393&lt;&gt;"weapon","",IF(G393="miscellaneous","1-4",IF(I393="","",IFERROR(VLOOKUP(I393&amp;"|"&amp;IF(LEFT(H393,2)="2H",2,1)&amp;"|"&amp;IF(G393="slashing",1,0),_lookup!$G$3:$H$18,2,FALSE),""))))</f>
        <v/>
      </c>
      <c r="L393">
        <f>IF(K393="","",IF(OR(G393="channeling",G393="infusing"),"Magical",IF(G393="blocking","Anti-Physical",IF(G393="warding","Anti-Magical","Physical"))))</f>
        <v/>
      </c>
      <c r="O393">
        <f>IF(F393&lt;&gt;"armor","","TBD")</f>
        <v/>
      </c>
      <c r="P393">
        <f>IF(O393="","",IF(OR(G393="channeling",G393="infusing"),"Magical",IF(G393="blocking","Anti-Physical",IF(G393="warding","Anti-Magical","Physical"))))</f>
        <v/>
      </c>
    </row>
    <row r="394">
      <c r="J394">
        <f>IF(G394="","",IFERROR(IF(G394="infusing",IFERROR(LOOKUP(2,1/ISNUMBER(SEARCH(_lookup!$D$3:$D$4,H394)),_lookup!$E$3:$E$4),"INT"),VLOOKUP(G394,_lookup!$A$3:$B$14,2,FALSE)),""))</f>
        <v/>
      </c>
      <c r="K394">
        <f>IF(F394&lt;&gt;"weapon","",IF(G394="miscellaneous","1-4",IF(I394="","",IFERROR(VLOOKUP(I394&amp;"|"&amp;IF(LEFT(H394,2)="2H",2,1)&amp;"|"&amp;IF(G394="slashing",1,0),_lookup!$G$3:$H$18,2,FALSE),""))))</f>
        <v/>
      </c>
      <c r="L394">
        <f>IF(K394="","",IF(OR(G394="channeling",G394="infusing"),"Magical",IF(G394="blocking","Anti-Physical",IF(G394="warding","Anti-Magical","Physical"))))</f>
        <v/>
      </c>
      <c r="O394">
        <f>IF(F394&lt;&gt;"armor","","TBD")</f>
        <v/>
      </c>
      <c r="P394">
        <f>IF(O394="","",IF(OR(G394="channeling",G394="infusing"),"Magical",IF(G394="blocking","Anti-Physical",IF(G394="warding","Anti-Magical","Physical"))))</f>
        <v/>
      </c>
    </row>
    <row r="395">
      <c r="J395">
        <f>IF(G395="","",IFERROR(IF(G395="infusing",IFERROR(LOOKUP(2,1/ISNUMBER(SEARCH(_lookup!$D$3:$D$4,H395)),_lookup!$E$3:$E$4),"INT"),VLOOKUP(G395,_lookup!$A$3:$B$14,2,FALSE)),""))</f>
        <v/>
      </c>
      <c r="K395">
        <f>IF(F395&lt;&gt;"weapon","",IF(G395="miscellaneous","1-4",IF(I395="","",IFERROR(VLOOKUP(I395&amp;"|"&amp;IF(LEFT(H395,2)="2H",2,1)&amp;"|"&amp;IF(G395="slashing",1,0),_lookup!$G$3:$H$18,2,FALSE),""))))</f>
        <v/>
      </c>
      <c r="L395">
        <f>IF(K395="","",IF(OR(G395="channeling",G395="infusing"),"Magical",IF(G395="blocking","Anti-Physical",IF(G395="warding","Anti-Magical","Physical"))))</f>
        <v/>
      </c>
      <c r="O395">
        <f>IF(F395&lt;&gt;"armor","","TBD")</f>
        <v/>
      </c>
      <c r="P395">
        <f>IF(O395="","",IF(OR(G395="channeling",G395="infusing"),"Magical",IF(G395="blocking","Anti-Physical",IF(G395="warding","Anti-Magical","Physical"))))</f>
        <v/>
      </c>
    </row>
    <row r="396">
      <c r="J396">
        <f>IF(G396="","",IFERROR(IF(G396="infusing",IFERROR(LOOKUP(2,1/ISNUMBER(SEARCH(_lookup!$D$3:$D$4,H396)),_lookup!$E$3:$E$4),"INT"),VLOOKUP(G396,_lookup!$A$3:$B$14,2,FALSE)),""))</f>
        <v/>
      </c>
      <c r="K396">
        <f>IF(F396&lt;&gt;"weapon","",IF(G396="miscellaneous","1-4",IF(I396="","",IFERROR(VLOOKUP(I396&amp;"|"&amp;IF(LEFT(H396,2)="2H",2,1)&amp;"|"&amp;IF(G396="slashing",1,0),_lookup!$G$3:$H$18,2,FALSE),""))))</f>
        <v/>
      </c>
      <c r="L396">
        <f>IF(K396="","",IF(OR(G396="channeling",G396="infusing"),"Magical",IF(G396="blocking","Anti-Physical",IF(G396="warding","Anti-Magical","Physical"))))</f>
        <v/>
      </c>
      <c r="O396">
        <f>IF(F396&lt;&gt;"armor","","TBD")</f>
        <v/>
      </c>
      <c r="P396">
        <f>IF(O396="","",IF(OR(G396="channeling",G396="infusing"),"Magical",IF(G396="blocking","Anti-Physical",IF(G396="warding","Anti-Magical","Physical"))))</f>
        <v/>
      </c>
    </row>
    <row r="397">
      <c r="J397">
        <f>IF(G397="","",IFERROR(IF(G397="infusing",IFERROR(LOOKUP(2,1/ISNUMBER(SEARCH(_lookup!$D$3:$D$4,H397)),_lookup!$E$3:$E$4),"INT"),VLOOKUP(G397,_lookup!$A$3:$B$14,2,FALSE)),""))</f>
        <v/>
      </c>
      <c r="K397">
        <f>IF(F397&lt;&gt;"weapon","",IF(G397="miscellaneous","1-4",IF(I397="","",IFERROR(VLOOKUP(I397&amp;"|"&amp;IF(LEFT(H397,2)="2H",2,1)&amp;"|"&amp;IF(G397="slashing",1,0),_lookup!$G$3:$H$18,2,FALSE),""))))</f>
        <v/>
      </c>
      <c r="L397">
        <f>IF(K397="","",IF(OR(G397="channeling",G397="infusing"),"Magical",IF(G397="blocking","Anti-Physical",IF(G397="warding","Anti-Magical","Physical"))))</f>
        <v/>
      </c>
      <c r="O397">
        <f>IF(F397&lt;&gt;"armor","","TBD")</f>
        <v/>
      </c>
      <c r="P397">
        <f>IF(O397="","",IF(OR(G397="channeling",G397="infusing"),"Magical",IF(G397="blocking","Anti-Physical",IF(G397="warding","Anti-Magical","Physical"))))</f>
        <v/>
      </c>
    </row>
    <row r="398">
      <c r="J398">
        <f>IF(G398="","",IFERROR(IF(G398="infusing",IFERROR(LOOKUP(2,1/ISNUMBER(SEARCH(_lookup!$D$3:$D$4,H398)),_lookup!$E$3:$E$4),"INT"),VLOOKUP(G398,_lookup!$A$3:$B$14,2,FALSE)),""))</f>
        <v/>
      </c>
      <c r="K398">
        <f>IF(F398&lt;&gt;"weapon","",IF(G398="miscellaneous","1-4",IF(I398="","",IFERROR(VLOOKUP(I398&amp;"|"&amp;IF(LEFT(H398,2)="2H",2,1)&amp;"|"&amp;IF(G398="slashing",1,0),_lookup!$G$3:$H$18,2,FALSE),""))))</f>
        <v/>
      </c>
      <c r="L398">
        <f>IF(K398="","",IF(OR(G398="channeling",G398="infusing"),"Magical",IF(G398="blocking","Anti-Physical",IF(G398="warding","Anti-Magical","Physical"))))</f>
        <v/>
      </c>
      <c r="O398">
        <f>IF(F398&lt;&gt;"armor","","TBD")</f>
        <v/>
      </c>
      <c r="P398">
        <f>IF(O398="","",IF(OR(G398="channeling",G398="infusing"),"Magical",IF(G398="blocking","Anti-Physical",IF(G398="warding","Anti-Magical","Physical"))))</f>
        <v/>
      </c>
    </row>
    <row r="399">
      <c r="J399">
        <f>IF(G399="","",IFERROR(IF(G399="infusing",IFERROR(LOOKUP(2,1/ISNUMBER(SEARCH(_lookup!$D$3:$D$4,H399)),_lookup!$E$3:$E$4),"INT"),VLOOKUP(G399,_lookup!$A$3:$B$14,2,FALSE)),""))</f>
        <v/>
      </c>
      <c r="K399">
        <f>IF(F399&lt;&gt;"weapon","",IF(G399="miscellaneous","1-4",IF(I399="","",IFERROR(VLOOKUP(I399&amp;"|"&amp;IF(LEFT(H399,2)="2H",2,1)&amp;"|"&amp;IF(G399="slashing",1,0),_lookup!$G$3:$H$18,2,FALSE),""))))</f>
        <v/>
      </c>
      <c r="L399">
        <f>IF(K399="","",IF(OR(G399="channeling",G399="infusing"),"Magical",IF(G399="blocking","Anti-Physical",IF(G399="warding","Anti-Magical","Physical"))))</f>
        <v/>
      </c>
      <c r="O399">
        <f>IF(F399&lt;&gt;"armor","","TBD")</f>
        <v/>
      </c>
      <c r="P399">
        <f>IF(O399="","",IF(OR(G399="channeling",G399="infusing"),"Magical",IF(G399="blocking","Anti-Physical",IF(G399="warding","Anti-Magical","Physical"))))</f>
        <v/>
      </c>
    </row>
    <row r="400">
      <c r="J400">
        <f>IF(G400="","",IFERROR(IF(G400="infusing",IFERROR(LOOKUP(2,1/ISNUMBER(SEARCH(_lookup!$D$3:$D$4,H400)),_lookup!$E$3:$E$4),"INT"),VLOOKUP(G400,_lookup!$A$3:$B$14,2,FALSE)),""))</f>
        <v/>
      </c>
      <c r="K400">
        <f>IF(F400&lt;&gt;"weapon","",IF(G400="miscellaneous","1-4",IF(I400="","",IFERROR(VLOOKUP(I400&amp;"|"&amp;IF(LEFT(H400,2)="2H",2,1)&amp;"|"&amp;IF(G400="slashing",1,0),_lookup!$G$3:$H$18,2,FALSE),""))))</f>
        <v/>
      </c>
      <c r="L400">
        <f>IF(K400="","",IF(OR(G400="channeling",G400="infusing"),"Magical",IF(G400="blocking","Anti-Physical",IF(G400="warding","Anti-Magical","Physical"))))</f>
        <v/>
      </c>
      <c r="O400">
        <f>IF(F400&lt;&gt;"armor","","TBD")</f>
        <v/>
      </c>
      <c r="P400">
        <f>IF(O400="","",IF(OR(G400="channeling",G400="infusing"),"Magical",IF(G400="blocking","Anti-Physical",IF(G400="warding","Anti-Magical","Physical"))))</f>
        <v/>
      </c>
    </row>
    <row r="401">
      <c r="J401">
        <f>IF(G401="","",IFERROR(IF(G401="infusing",IFERROR(LOOKUP(2,1/ISNUMBER(SEARCH(_lookup!$D$3:$D$4,H401)),_lookup!$E$3:$E$4),"INT"),VLOOKUP(G401,_lookup!$A$3:$B$14,2,FALSE)),""))</f>
        <v/>
      </c>
      <c r="K401">
        <f>IF(F401&lt;&gt;"weapon","",IF(G401="miscellaneous","1-4",IF(I401="","",IFERROR(VLOOKUP(I401&amp;"|"&amp;IF(LEFT(H401,2)="2H",2,1)&amp;"|"&amp;IF(G401="slashing",1,0),_lookup!$G$3:$H$18,2,FALSE),""))))</f>
        <v/>
      </c>
      <c r="L401">
        <f>IF(K401="","",IF(OR(G401="channeling",G401="infusing"),"Magical",IF(G401="blocking","Anti-Physical",IF(G401="warding","Anti-Magical","Physical"))))</f>
        <v/>
      </c>
      <c r="O401">
        <f>IF(F401&lt;&gt;"armor","","TBD")</f>
        <v/>
      </c>
      <c r="P401">
        <f>IF(O401="","",IF(OR(G401="channeling",G401="infusing"),"Magical",IF(G401="blocking","Anti-Physical",IF(G401="warding","Anti-Magical","Physical"))))</f>
        <v/>
      </c>
    </row>
    <row r="402">
      <c r="J402">
        <f>IF(G402="","",IFERROR(IF(G402="infusing",IFERROR(LOOKUP(2,1/ISNUMBER(SEARCH(_lookup!$D$3:$D$4,H402)),_lookup!$E$3:$E$4),"INT"),VLOOKUP(G402,_lookup!$A$3:$B$14,2,FALSE)),""))</f>
        <v/>
      </c>
      <c r="K402">
        <f>IF(F402&lt;&gt;"weapon","",IF(G402="miscellaneous","1-4",IF(I402="","",IFERROR(VLOOKUP(I402&amp;"|"&amp;IF(LEFT(H402,2)="2H",2,1)&amp;"|"&amp;IF(G402="slashing",1,0),_lookup!$G$3:$H$18,2,FALSE),""))))</f>
        <v/>
      </c>
      <c r="L402">
        <f>IF(K402="","",IF(OR(G402="channeling",G402="infusing"),"Magical",IF(G402="blocking","Anti-Physical",IF(G402="warding","Anti-Magical","Physical"))))</f>
        <v/>
      </c>
      <c r="O402">
        <f>IF(F402&lt;&gt;"armor","","TBD")</f>
        <v/>
      </c>
      <c r="P402">
        <f>IF(O402="","",IF(OR(G402="channeling",G402="infusing"),"Magical",IF(G402="blocking","Anti-Physical",IF(G402="warding","Anti-Magical","Physical"))))</f>
        <v/>
      </c>
    </row>
    <row r="403">
      <c r="J403">
        <f>IF(G403="","",IFERROR(IF(G403="infusing",IFERROR(LOOKUP(2,1/ISNUMBER(SEARCH(_lookup!$D$3:$D$4,H403)),_lookup!$E$3:$E$4),"INT"),VLOOKUP(G403,_lookup!$A$3:$B$14,2,FALSE)),""))</f>
        <v/>
      </c>
      <c r="K403">
        <f>IF(F403&lt;&gt;"weapon","",IF(G403="miscellaneous","1-4",IF(I403="","",IFERROR(VLOOKUP(I403&amp;"|"&amp;IF(LEFT(H403,2)="2H",2,1)&amp;"|"&amp;IF(G403="slashing",1,0),_lookup!$G$3:$H$18,2,FALSE),""))))</f>
        <v/>
      </c>
      <c r="L403">
        <f>IF(K403="","",IF(OR(G403="channeling",G403="infusing"),"Magical",IF(G403="blocking","Anti-Physical",IF(G403="warding","Anti-Magical","Physical"))))</f>
        <v/>
      </c>
      <c r="O403">
        <f>IF(F403&lt;&gt;"armor","","TBD")</f>
        <v/>
      </c>
      <c r="P403">
        <f>IF(O403="","",IF(OR(G403="channeling",G403="infusing"),"Magical",IF(G403="blocking","Anti-Physical",IF(G403="warding","Anti-Magical","Physical"))))</f>
        <v/>
      </c>
    </row>
    <row r="404">
      <c r="J404">
        <f>IF(G404="","",IFERROR(IF(G404="infusing",IFERROR(LOOKUP(2,1/ISNUMBER(SEARCH(_lookup!$D$3:$D$4,H404)),_lookup!$E$3:$E$4),"INT"),VLOOKUP(G404,_lookup!$A$3:$B$14,2,FALSE)),""))</f>
        <v/>
      </c>
      <c r="K404">
        <f>IF(F404&lt;&gt;"weapon","",IF(G404="miscellaneous","1-4",IF(I404="","",IFERROR(VLOOKUP(I404&amp;"|"&amp;IF(LEFT(H404,2)="2H",2,1)&amp;"|"&amp;IF(G404="slashing",1,0),_lookup!$G$3:$H$18,2,FALSE),""))))</f>
        <v/>
      </c>
      <c r="L404">
        <f>IF(K404="","",IF(OR(G404="channeling",G404="infusing"),"Magical",IF(G404="blocking","Anti-Physical",IF(G404="warding","Anti-Magical","Physical"))))</f>
        <v/>
      </c>
      <c r="O404">
        <f>IF(F404&lt;&gt;"armor","","TBD")</f>
        <v/>
      </c>
      <c r="P404">
        <f>IF(O404="","",IF(OR(G404="channeling",G404="infusing"),"Magical",IF(G404="blocking","Anti-Physical",IF(G404="warding","Anti-Magical","Physical"))))</f>
        <v/>
      </c>
    </row>
    <row r="405">
      <c r="J405">
        <f>IF(G405="","",IFERROR(IF(G405="infusing",IFERROR(LOOKUP(2,1/ISNUMBER(SEARCH(_lookup!$D$3:$D$4,H405)),_lookup!$E$3:$E$4),"INT"),VLOOKUP(G405,_lookup!$A$3:$B$14,2,FALSE)),""))</f>
        <v/>
      </c>
      <c r="K405">
        <f>IF(F405&lt;&gt;"weapon","",IF(G405="miscellaneous","1-4",IF(I405="","",IFERROR(VLOOKUP(I405&amp;"|"&amp;IF(LEFT(H405,2)="2H",2,1)&amp;"|"&amp;IF(G405="slashing",1,0),_lookup!$G$3:$H$18,2,FALSE),""))))</f>
        <v/>
      </c>
      <c r="L405">
        <f>IF(K405="","",IF(OR(G405="channeling",G405="infusing"),"Magical",IF(G405="blocking","Anti-Physical",IF(G405="warding","Anti-Magical","Physical"))))</f>
        <v/>
      </c>
      <c r="O405">
        <f>IF(F405&lt;&gt;"armor","","TBD")</f>
        <v/>
      </c>
      <c r="P405">
        <f>IF(O405="","",IF(OR(G405="channeling",G405="infusing"),"Magical",IF(G405="blocking","Anti-Physical",IF(G405="warding","Anti-Magical","Physical"))))</f>
        <v/>
      </c>
    </row>
    <row r="406">
      <c r="J406">
        <f>IF(G406="","",IFERROR(IF(G406="infusing",IFERROR(LOOKUP(2,1/ISNUMBER(SEARCH(_lookup!$D$3:$D$4,H406)),_lookup!$E$3:$E$4),"INT"),VLOOKUP(G406,_lookup!$A$3:$B$14,2,FALSE)),""))</f>
        <v/>
      </c>
      <c r="K406">
        <f>IF(F406&lt;&gt;"weapon","",IF(G406="miscellaneous","1-4",IF(I406="","",IFERROR(VLOOKUP(I406&amp;"|"&amp;IF(LEFT(H406,2)="2H",2,1)&amp;"|"&amp;IF(G406="slashing",1,0),_lookup!$G$3:$H$18,2,FALSE),""))))</f>
        <v/>
      </c>
      <c r="L406">
        <f>IF(K406="","",IF(OR(G406="channeling",G406="infusing"),"Magical",IF(G406="blocking","Anti-Physical",IF(G406="warding","Anti-Magical","Physical"))))</f>
        <v/>
      </c>
      <c r="O406">
        <f>IF(F406&lt;&gt;"armor","","TBD")</f>
        <v/>
      </c>
      <c r="P406">
        <f>IF(O406="","",IF(OR(G406="channeling",G406="infusing"),"Magical",IF(G406="blocking","Anti-Physical",IF(G406="warding","Anti-Magical","Physical"))))</f>
        <v/>
      </c>
    </row>
    <row r="407">
      <c r="J407">
        <f>IF(G407="","",IFERROR(IF(G407="infusing",IFERROR(LOOKUP(2,1/ISNUMBER(SEARCH(_lookup!$D$3:$D$4,H407)),_lookup!$E$3:$E$4),"INT"),VLOOKUP(G407,_lookup!$A$3:$B$14,2,FALSE)),""))</f>
        <v/>
      </c>
      <c r="K407">
        <f>IF(F407&lt;&gt;"weapon","",IF(G407="miscellaneous","1-4",IF(I407="","",IFERROR(VLOOKUP(I407&amp;"|"&amp;IF(LEFT(H407,2)="2H",2,1)&amp;"|"&amp;IF(G407="slashing",1,0),_lookup!$G$3:$H$18,2,FALSE),""))))</f>
        <v/>
      </c>
      <c r="L407">
        <f>IF(K407="","",IF(OR(G407="channeling",G407="infusing"),"Magical",IF(G407="blocking","Anti-Physical",IF(G407="warding","Anti-Magical","Physical"))))</f>
        <v/>
      </c>
      <c r="O407">
        <f>IF(F407&lt;&gt;"armor","","TBD")</f>
        <v/>
      </c>
      <c r="P407">
        <f>IF(O407="","",IF(OR(G407="channeling",G407="infusing"),"Magical",IF(G407="blocking","Anti-Physical",IF(G407="warding","Anti-Magical","Physical"))))</f>
        <v/>
      </c>
    </row>
    <row r="408">
      <c r="J408">
        <f>IF(G408="","",IFERROR(IF(G408="infusing",IFERROR(LOOKUP(2,1/ISNUMBER(SEARCH(_lookup!$D$3:$D$4,H408)),_lookup!$E$3:$E$4),"INT"),VLOOKUP(G408,_lookup!$A$3:$B$14,2,FALSE)),""))</f>
        <v/>
      </c>
      <c r="K408">
        <f>IF(F408&lt;&gt;"weapon","",IF(G408="miscellaneous","1-4",IF(I408="","",IFERROR(VLOOKUP(I408&amp;"|"&amp;IF(LEFT(H408,2)="2H",2,1)&amp;"|"&amp;IF(G408="slashing",1,0),_lookup!$G$3:$H$18,2,FALSE),""))))</f>
        <v/>
      </c>
      <c r="L408">
        <f>IF(K408="","",IF(OR(G408="channeling",G408="infusing"),"Magical",IF(G408="blocking","Anti-Physical",IF(G408="warding","Anti-Magical","Physical"))))</f>
        <v/>
      </c>
      <c r="O408">
        <f>IF(F408&lt;&gt;"armor","","TBD")</f>
        <v/>
      </c>
      <c r="P408">
        <f>IF(O408="","",IF(OR(G408="channeling",G408="infusing"),"Magical",IF(G408="blocking","Anti-Physical",IF(G408="warding","Anti-Magical","Physical"))))</f>
        <v/>
      </c>
    </row>
    <row r="409">
      <c r="J409">
        <f>IF(G409="","",IFERROR(IF(G409="infusing",IFERROR(LOOKUP(2,1/ISNUMBER(SEARCH(_lookup!$D$3:$D$4,H409)),_lookup!$E$3:$E$4),"INT"),VLOOKUP(G409,_lookup!$A$3:$B$14,2,FALSE)),""))</f>
        <v/>
      </c>
      <c r="K409">
        <f>IF(F409&lt;&gt;"weapon","",IF(G409="miscellaneous","1-4",IF(I409="","",IFERROR(VLOOKUP(I409&amp;"|"&amp;IF(LEFT(H409,2)="2H",2,1)&amp;"|"&amp;IF(G409="slashing",1,0),_lookup!$G$3:$H$18,2,FALSE),""))))</f>
        <v/>
      </c>
      <c r="L409">
        <f>IF(K409="","",IF(OR(G409="channeling",G409="infusing"),"Magical",IF(G409="blocking","Anti-Physical",IF(G409="warding","Anti-Magical","Physical"))))</f>
        <v/>
      </c>
      <c r="O409">
        <f>IF(F409&lt;&gt;"armor","","TBD")</f>
        <v/>
      </c>
      <c r="P409">
        <f>IF(O409="","",IF(OR(G409="channeling",G409="infusing"),"Magical",IF(G409="blocking","Anti-Physical",IF(G409="warding","Anti-Magical","Physical"))))</f>
        <v/>
      </c>
    </row>
    <row r="410">
      <c r="J410">
        <f>IF(G410="","",IFERROR(IF(G410="infusing",IFERROR(LOOKUP(2,1/ISNUMBER(SEARCH(_lookup!$D$3:$D$4,H410)),_lookup!$E$3:$E$4),"INT"),VLOOKUP(G410,_lookup!$A$3:$B$14,2,FALSE)),""))</f>
        <v/>
      </c>
      <c r="K410">
        <f>IF(F410&lt;&gt;"weapon","",IF(G410="miscellaneous","1-4",IF(I410="","",IFERROR(VLOOKUP(I410&amp;"|"&amp;IF(LEFT(H410,2)="2H",2,1)&amp;"|"&amp;IF(G410="slashing",1,0),_lookup!$G$3:$H$18,2,FALSE),""))))</f>
        <v/>
      </c>
      <c r="L410">
        <f>IF(K410="","",IF(OR(G410="channeling",G410="infusing"),"Magical",IF(G410="blocking","Anti-Physical",IF(G410="warding","Anti-Magical","Physical"))))</f>
        <v/>
      </c>
      <c r="O410">
        <f>IF(F410&lt;&gt;"armor","","TBD")</f>
        <v/>
      </c>
      <c r="P410">
        <f>IF(O410="","",IF(OR(G410="channeling",G410="infusing"),"Magical",IF(G410="blocking","Anti-Physical",IF(G410="warding","Anti-Magical","Physical"))))</f>
        <v/>
      </c>
    </row>
    <row r="411">
      <c r="J411">
        <f>IF(G411="","",IFERROR(IF(G411="infusing",IFERROR(LOOKUP(2,1/ISNUMBER(SEARCH(_lookup!$D$3:$D$4,H411)),_lookup!$E$3:$E$4),"INT"),VLOOKUP(G411,_lookup!$A$3:$B$14,2,FALSE)),""))</f>
        <v/>
      </c>
      <c r="K411">
        <f>IF(F411&lt;&gt;"weapon","",IF(G411="miscellaneous","1-4",IF(I411="","",IFERROR(VLOOKUP(I411&amp;"|"&amp;IF(LEFT(H411,2)="2H",2,1)&amp;"|"&amp;IF(G411="slashing",1,0),_lookup!$G$3:$H$18,2,FALSE),""))))</f>
        <v/>
      </c>
      <c r="L411">
        <f>IF(K411="","",IF(OR(G411="channeling",G411="infusing"),"Magical",IF(G411="blocking","Anti-Physical",IF(G411="warding","Anti-Magical","Physical"))))</f>
        <v/>
      </c>
      <c r="O411">
        <f>IF(F411&lt;&gt;"armor","","TBD")</f>
        <v/>
      </c>
      <c r="P411">
        <f>IF(O411="","",IF(OR(G411="channeling",G411="infusing"),"Magical",IF(G411="blocking","Anti-Physical",IF(G411="warding","Anti-Magical","Physical"))))</f>
        <v/>
      </c>
    </row>
    <row r="412">
      <c r="J412">
        <f>IF(G412="","",IFERROR(IF(G412="infusing",IFERROR(LOOKUP(2,1/ISNUMBER(SEARCH(_lookup!$D$3:$D$4,H412)),_lookup!$E$3:$E$4),"INT"),VLOOKUP(G412,_lookup!$A$3:$B$14,2,FALSE)),""))</f>
        <v/>
      </c>
      <c r="K412">
        <f>IF(F412&lt;&gt;"weapon","",IF(G412="miscellaneous","1-4",IF(I412="","",IFERROR(VLOOKUP(I412&amp;"|"&amp;IF(LEFT(H412,2)="2H",2,1)&amp;"|"&amp;IF(G412="slashing",1,0),_lookup!$G$3:$H$18,2,FALSE),""))))</f>
        <v/>
      </c>
      <c r="L412">
        <f>IF(K412="","",IF(OR(G412="channeling",G412="infusing"),"Magical",IF(G412="blocking","Anti-Physical",IF(G412="warding","Anti-Magical","Physical"))))</f>
        <v/>
      </c>
      <c r="O412">
        <f>IF(F412&lt;&gt;"armor","","TBD")</f>
        <v/>
      </c>
      <c r="P412">
        <f>IF(O412="","",IF(OR(G412="channeling",G412="infusing"),"Magical",IF(G412="blocking","Anti-Physical",IF(G412="warding","Anti-Magical","Physical"))))</f>
        <v/>
      </c>
    </row>
    <row r="413">
      <c r="J413">
        <f>IF(G413="","",IFERROR(IF(G413="infusing",IFERROR(LOOKUP(2,1/ISNUMBER(SEARCH(_lookup!$D$3:$D$4,H413)),_lookup!$E$3:$E$4),"INT"),VLOOKUP(G413,_lookup!$A$3:$B$14,2,FALSE)),""))</f>
        <v/>
      </c>
      <c r="K413">
        <f>IF(F413&lt;&gt;"weapon","",IF(G413="miscellaneous","1-4",IF(I413="","",IFERROR(VLOOKUP(I413&amp;"|"&amp;IF(LEFT(H413,2)="2H",2,1)&amp;"|"&amp;IF(G413="slashing",1,0),_lookup!$G$3:$H$18,2,FALSE),""))))</f>
        <v/>
      </c>
      <c r="L413">
        <f>IF(K413="","",IF(OR(G413="channeling",G413="infusing"),"Magical",IF(G413="blocking","Anti-Physical",IF(G413="warding","Anti-Magical","Physical"))))</f>
        <v/>
      </c>
      <c r="O413">
        <f>IF(F413&lt;&gt;"armor","","TBD")</f>
        <v/>
      </c>
      <c r="P413">
        <f>IF(O413="","",IF(OR(G413="channeling",G413="infusing"),"Magical",IF(G413="blocking","Anti-Physical",IF(G413="warding","Anti-Magical","Physical"))))</f>
        <v/>
      </c>
    </row>
    <row r="414">
      <c r="J414">
        <f>IF(G414="","",IFERROR(IF(G414="infusing",IFERROR(LOOKUP(2,1/ISNUMBER(SEARCH(_lookup!$D$3:$D$4,H414)),_lookup!$E$3:$E$4),"INT"),VLOOKUP(G414,_lookup!$A$3:$B$14,2,FALSE)),""))</f>
        <v/>
      </c>
      <c r="K414">
        <f>IF(F414&lt;&gt;"weapon","",IF(G414="miscellaneous","1-4",IF(I414="","",IFERROR(VLOOKUP(I414&amp;"|"&amp;IF(LEFT(H414,2)="2H",2,1)&amp;"|"&amp;IF(G414="slashing",1,0),_lookup!$G$3:$H$18,2,FALSE),""))))</f>
        <v/>
      </c>
      <c r="L414">
        <f>IF(K414="","",IF(OR(G414="channeling",G414="infusing"),"Magical",IF(G414="blocking","Anti-Physical",IF(G414="warding","Anti-Magical","Physical"))))</f>
        <v/>
      </c>
      <c r="O414">
        <f>IF(F414&lt;&gt;"armor","","TBD")</f>
        <v/>
      </c>
      <c r="P414">
        <f>IF(O414="","",IF(OR(G414="channeling",G414="infusing"),"Magical",IF(G414="blocking","Anti-Physical",IF(G414="warding","Anti-Magical","Physical"))))</f>
        <v/>
      </c>
    </row>
    <row r="415">
      <c r="J415">
        <f>IF(G415="","",IFERROR(IF(G415="infusing",IFERROR(LOOKUP(2,1/ISNUMBER(SEARCH(_lookup!$D$3:$D$4,H415)),_lookup!$E$3:$E$4),"INT"),VLOOKUP(G415,_lookup!$A$3:$B$14,2,FALSE)),""))</f>
        <v/>
      </c>
      <c r="K415">
        <f>IF(F415&lt;&gt;"weapon","",IF(G415="miscellaneous","1-4",IF(I415="","",IFERROR(VLOOKUP(I415&amp;"|"&amp;IF(LEFT(H415,2)="2H",2,1)&amp;"|"&amp;IF(G415="slashing",1,0),_lookup!$G$3:$H$18,2,FALSE),""))))</f>
        <v/>
      </c>
      <c r="L415">
        <f>IF(K415="","",IF(OR(G415="channeling",G415="infusing"),"Magical",IF(G415="blocking","Anti-Physical",IF(G415="warding","Anti-Magical","Physical"))))</f>
        <v/>
      </c>
      <c r="O415">
        <f>IF(F415&lt;&gt;"armor","","TBD")</f>
        <v/>
      </c>
      <c r="P415">
        <f>IF(O415="","",IF(OR(G415="channeling",G415="infusing"),"Magical",IF(G415="blocking","Anti-Physical",IF(G415="warding","Anti-Magical","Physical"))))</f>
        <v/>
      </c>
    </row>
    <row r="416">
      <c r="J416">
        <f>IF(G416="","",IFERROR(IF(G416="infusing",IFERROR(LOOKUP(2,1/ISNUMBER(SEARCH(_lookup!$D$3:$D$4,H416)),_lookup!$E$3:$E$4),"INT"),VLOOKUP(G416,_lookup!$A$3:$B$14,2,FALSE)),""))</f>
        <v/>
      </c>
      <c r="K416">
        <f>IF(F416&lt;&gt;"weapon","",IF(G416="miscellaneous","1-4",IF(I416="","",IFERROR(VLOOKUP(I416&amp;"|"&amp;IF(LEFT(H416,2)="2H",2,1)&amp;"|"&amp;IF(G416="slashing",1,0),_lookup!$G$3:$H$18,2,FALSE),""))))</f>
        <v/>
      </c>
      <c r="L416">
        <f>IF(K416="","",IF(OR(G416="channeling",G416="infusing"),"Magical",IF(G416="blocking","Anti-Physical",IF(G416="warding","Anti-Magical","Physical"))))</f>
        <v/>
      </c>
      <c r="O416">
        <f>IF(F416&lt;&gt;"armor","","TBD")</f>
        <v/>
      </c>
      <c r="P416">
        <f>IF(O416="","",IF(OR(G416="channeling",G416="infusing"),"Magical",IF(G416="blocking","Anti-Physical",IF(G416="warding","Anti-Magical","Physical"))))</f>
        <v/>
      </c>
    </row>
    <row r="417">
      <c r="J417">
        <f>IF(G417="","",IFERROR(IF(G417="infusing",IFERROR(LOOKUP(2,1/ISNUMBER(SEARCH(_lookup!$D$3:$D$4,H417)),_lookup!$E$3:$E$4),"INT"),VLOOKUP(G417,_lookup!$A$3:$B$14,2,FALSE)),""))</f>
        <v/>
      </c>
      <c r="K417">
        <f>IF(F417&lt;&gt;"weapon","",IF(G417="miscellaneous","1-4",IF(I417="","",IFERROR(VLOOKUP(I417&amp;"|"&amp;IF(LEFT(H417,2)="2H",2,1)&amp;"|"&amp;IF(G417="slashing",1,0),_lookup!$G$3:$H$18,2,FALSE),""))))</f>
        <v/>
      </c>
      <c r="L417">
        <f>IF(K417="","",IF(OR(G417="channeling",G417="infusing"),"Magical",IF(G417="blocking","Anti-Physical",IF(G417="warding","Anti-Magical","Physical"))))</f>
        <v/>
      </c>
      <c r="O417">
        <f>IF(F417&lt;&gt;"armor","","TBD")</f>
        <v/>
      </c>
      <c r="P417">
        <f>IF(O417="","",IF(OR(G417="channeling",G417="infusing"),"Magical",IF(G417="blocking","Anti-Physical",IF(G417="warding","Anti-Magical","Physical"))))</f>
        <v/>
      </c>
    </row>
    <row r="418">
      <c r="J418">
        <f>IF(G418="","",IFERROR(IF(G418="infusing",IFERROR(LOOKUP(2,1/ISNUMBER(SEARCH(_lookup!$D$3:$D$4,H418)),_lookup!$E$3:$E$4),"INT"),VLOOKUP(G418,_lookup!$A$3:$B$14,2,FALSE)),""))</f>
        <v/>
      </c>
      <c r="K418">
        <f>IF(F418&lt;&gt;"weapon","",IF(G418="miscellaneous","1-4",IF(I418="","",IFERROR(VLOOKUP(I418&amp;"|"&amp;IF(LEFT(H418,2)="2H",2,1)&amp;"|"&amp;IF(G418="slashing",1,0),_lookup!$G$3:$H$18,2,FALSE),""))))</f>
        <v/>
      </c>
      <c r="L418">
        <f>IF(K418="","",IF(OR(G418="channeling",G418="infusing"),"Magical",IF(G418="blocking","Anti-Physical",IF(G418="warding","Anti-Magical","Physical"))))</f>
        <v/>
      </c>
      <c r="O418">
        <f>IF(F418&lt;&gt;"armor","","TBD")</f>
        <v/>
      </c>
      <c r="P418">
        <f>IF(O418="","",IF(OR(G418="channeling",G418="infusing"),"Magical",IF(G418="blocking","Anti-Physical",IF(G418="warding","Anti-Magical","Physical"))))</f>
        <v/>
      </c>
    </row>
    <row r="419">
      <c r="J419">
        <f>IF(G419="","",IFERROR(IF(G419="infusing",IFERROR(LOOKUP(2,1/ISNUMBER(SEARCH(_lookup!$D$3:$D$4,H419)),_lookup!$E$3:$E$4),"INT"),VLOOKUP(G419,_lookup!$A$3:$B$14,2,FALSE)),""))</f>
        <v/>
      </c>
      <c r="K419">
        <f>IF(F419&lt;&gt;"weapon","",IF(G419="miscellaneous","1-4",IF(I419="","",IFERROR(VLOOKUP(I419&amp;"|"&amp;IF(LEFT(H419,2)="2H",2,1)&amp;"|"&amp;IF(G419="slashing",1,0),_lookup!$G$3:$H$18,2,FALSE),""))))</f>
        <v/>
      </c>
      <c r="L419">
        <f>IF(K419="","",IF(OR(G419="channeling",G419="infusing"),"Magical",IF(G419="blocking","Anti-Physical",IF(G419="warding","Anti-Magical","Physical"))))</f>
        <v/>
      </c>
      <c r="O419">
        <f>IF(F419&lt;&gt;"armor","","TBD")</f>
        <v/>
      </c>
      <c r="P419">
        <f>IF(O419="","",IF(OR(G419="channeling",G419="infusing"),"Magical",IF(G419="blocking","Anti-Physical",IF(G419="warding","Anti-Magical","Physical"))))</f>
        <v/>
      </c>
    </row>
    <row r="420">
      <c r="J420">
        <f>IF(G420="","",IFERROR(IF(G420="infusing",IFERROR(LOOKUP(2,1/ISNUMBER(SEARCH(_lookup!$D$3:$D$4,H420)),_lookup!$E$3:$E$4),"INT"),VLOOKUP(G420,_lookup!$A$3:$B$14,2,FALSE)),""))</f>
        <v/>
      </c>
      <c r="K420">
        <f>IF(F420&lt;&gt;"weapon","",IF(G420="miscellaneous","1-4",IF(I420="","",IFERROR(VLOOKUP(I420&amp;"|"&amp;IF(LEFT(H420,2)="2H",2,1)&amp;"|"&amp;IF(G420="slashing",1,0),_lookup!$G$3:$H$18,2,FALSE),""))))</f>
        <v/>
      </c>
      <c r="L420">
        <f>IF(K420="","",IF(OR(G420="channeling",G420="infusing"),"Magical",IF(G420="blocking","Anti-Physical",IF(G420="warding","Anti-Magical","Physical"))))</f>
        <v/>
      </c>
      <c r="O420">
        <f>IF(F420&lt;&gt;"armor","","TBD")</f>
        <v/>
      </c>
      <c r="P420">
        <f>IF(O420="","",IF(OR(G420="channeling",G420="infusing"),"Magical",IF(G420="blocking","Anti-Physical",IF(G420="warding","Anti-Magical","Physical"))))</f>
        <v/>
      </c>
    </row>
    <row r="421">
      <c r="J421">
        <f>IF(G421="","",IFERROR(IF(G421="infusing",IFERROR(LOOKUP(2,1/ISNUMBER(SEARCH(_lookup!$D$3:$D$4,H421)),_lookup!$E$3:$E$4),"INT"),VLOOKUP(G421,_lookup!$A$3:$B$14,2,FALSE)),""))</f>
        <v/>
      </c>
      <c r="K421">
        <f>IF(F421&lt;&gt;"weapon","",IF(G421="miscellaneous","1-4",IF(I421="","",IFERROR(VLOOKUP(I421&amp;"|"&amp;IF(LEFT(H421,2)="2H",2,1)&amp;"|"&amp;IF(G421="slashing",1,0),_lookup!$G$3:$H$18,2,FALSE),""))))</f>
        <v/>
      </c>
      <c r="L421">
        <f>IF(K421="","",IF(OR(G421="channeling",G421="infusing"),"Magical",IF(G421="blocking","Anti-Physical",IF(G421="warding","Anti-Magical","Physical"))))</f>
        <v/>
      </c>
      <c r="O421">
        <f>IF(F421&lt;&gt;"armor","","TBD")</f>
        <v/>
      </c>
      <c r="P421">
        <f>IF(O421="","",IF(OR(G421="channeling",G421="infusing"),"Magical",IF(G421="blocking","Anti-Physical",IF(G421="warding","Anti-Magical","Physical"))))</f>
        <v/>
      </c>
    </row>
    <row r="422">
      <c r="J422">
        <f>IF(G422="","",IFERROR(IF(G422="infusing",IFERROR(LOOKUP(2,1/ISNUMBER(SEARCH(_lookup!$D$3:$D$4,H422)),_lookup!$E$3:$E$4),"INT"),VLOOKUP(G422,_lookup!$A$3:$B$14,2,FALSE)),""))</f>
        <v/>
      </c>
      <c r="K422">
        <f>IF(F422&lt;&gt;"weapon","",IF(G422="miscellaneous","1-4",IF(I422="","",IFERROR(VLOOKUP(I422&amp;"|"&amp;IF(LEFT(H422,2)="2H",2,1)&amp;"|"&amp;IF(G422="slashing",1,0),_lookup!$G$3:$H$18,2,FALSE),""))))</f>
        <v/>
      </c>
      <c r="L422">
        <f>IF(K422="","",IF(OR(G422="channeling",G422="infusing"),"Magical",IF(G422="blocking","Anti-Physical",IF(G422="warding","Anti-Magical","Physical"))))</f>
        <v/>
      </c>
      <c r="O422">
        <f>IF(F422&lt;&gt;"armor","","TBD")</f>
        <v/>
      </c>
      <c r="P422">
        <f>IF(O422="","",IF(OR(G422="channeling",G422="infusing"),"Magical",IF(G422="blocking","Anti-Physical",IF(G422="warding","Anti-Magical","Physical"))))</f>
        <v/>
      </c>
    </row>
    <row r="423">
      <c r="J423">
        <f>IF(G423="","",IFERROR(IF(G423="infusing",IFERROR(LOOKUP(2,1/ISNUMBER(SEARCH(_lookup!$D$3:$D$4,H423)),_lookup!$E$3:$E$4),"INT"),VLOOKUP(G423,_lookup!$A$3:$B$14,2,FALSE)),""))</f>
        <v/>
      </c>
      <c r="K423">
        <f>IF(F423&lt;&gt;"weapon","",IF(G423="miscellaneous","1-4",IF(I423="","",IFERROR(VLOOKUP(I423&amp;"|"&amp;IF(LEFT(H423,2)="2H",2,1)&amp;"|"&amp;IF(G423="slashing",1,0),_lookup!$G$3:$H$18,2,FALSE),""))))</f>
        <v/>
      </c>
      <c r="L423">
        <f>IF(K423="","",IF(OR(G423="channeling",G423="infusing"),"Magical",IF(G423="blocking","Anti-Physical",IF(G423="warding","Anti-Magical","Physical"))))</f>
        <v/>
      </c>
      <c r="O423">
        <f>IF(F423&lt;&gt;"armor","","TBD")</f>
        <v/>
      </c>
      <c r="P423">
        <f>IF(O423="","",IF(OR(G423="channeling",G423="infusing"),"Magical",IF(G423="blocking","Anti-Physical",IF(G423="warding","Anti-Magical","Physical"))))</f>
        <v/>
      </c>
    </row>
    <row r="424">
      <c r="J424">
        <f>IF(G424="","",IFERROR(IF(G424="infusing",IFERROR(LOOKUP(2,1/ISNUMBER(SEARCH(_lookup!$D$3:$D$4,H424)),_lookup!$E$3:$E$4),"INT"),VLOOKUP(G424,_lookup!$A$3:$B$14,2,FALSE)),""))</f>
        <v/>
      </c>
      <c r="K424">
        <f>IF(F424&lt;&gt;"weapon","",IF(G424="miscellaneous","1-4",IF(I424="","",IFERROR(VLOOKUP(I424&amp;"|"&amp;IF(LEFT(H424,2)="2H",2,1)&amp;"|"&amp;IF(G424="slashing",1,0),_lookup!$G$3:$H$18,2,FALSE),""))))</f>
        <v/>
      </c>
      <c r="L424">
        <f>IF(K424="","",IF(OR(G424="channeling",G424="infusing"),"Magical",IF(G424="blocking","Anti-Physical",IF(G424="warding","Anti-Magical","Physical"))))</f>
        <v/>
      </c>
      <c r="O424">
        <f>IF(F424&lt;&gt;"armor","","TBD")</f>
        <v/>
      </c>
      <c r="P424">
        <f>IF(O424="","",IF(OR(G424="channeling",G424="infusing"),"Magical",IF(G424="blocking","Anti-Physical",IF(G424="warding","Anti-Magical","Physical"))))</f>
        <v/>
      </c>
    </row>
    <row r="425">
      <c r="J425">
        <f>IF(G425="","",IFERROR(IF(G425="infusing",IFERROR(LOOKUP(2,1/ISNUMBER(SEARCH(_lookup!$D$3:$D$4,H425)),_lookup!$E$3:$E$4),"INT"),VLOOKUP(G425,_lookup!$A$3:$B$14,2,FALSE)),""))</f>
        <v/>
      </c>
      <c r="K425">
        <f>IF(F425&lt;&gt;"weapon","",IF(G425="miscellaneous","1-4",IF(I425="","",IFERROR(VLOOKUP(I425&amp;"|"&amp;IF(LEFT(H425,2)="2H",2,1)&amp;"|"&amp;IF(G425="slashing",1,0),_lookup!$G$3:$H$18,2,FALSE),""))))</f>
        <v/>
      </c>
      <c r="L425">
        <f>IF(K425="","",IF(OR(G425="channeling",G425="infusing"),"Magical",IF(G425="blocking","Anti-Physical",IF(G425="warding","Anti-Magical","Physical"))))</f>
        <v/>
      </c>
      <c r="O425">
        <f>IF(F425&lt;&gt;"armor","","TBD")</f>
        <v/>
      </c>
      <c r="P425">
        <f>IF(O425="","",IF(OR(G425="channeling",G425="infusing"),"Magical",IF(G425="blocking","Anti-Physical",IF(G425="warding","Anti-Magical","Physical"))))</f>
        <v/>
      </c>
    </row>
    <row r="426">
      <c r="J426">
        <f>IF(G426="","",IFERROR(IF(G426="infusing",IFERROR(LOOKUP(2,1/ISNUMBER(SEARCH(_lookup!$D$3:$D$4,H426)),_lookup!$E$3:$E$4),"INT"),VLOOKUP(G426,_lookup!$A$3:$B$14,2,FALSE)),""))</f>
        <v/>
      </c>
      <c r="K426">
        <f>IF(F426&lt;&gt;"weapon","",IF(G426="miscellaneous","1-4",IF(I426="","",IFERROR(VLOOKUP(I426&amp;"|"&amp;IF(LEFT(H426,2)="2H",2,1)&amp;"|"&amp;IF(G426="slashing",1,0),_lookup!$G$3:$H$18,2,FALSE),""))))</f>
        <v/>
      </c>
      <c r="L426">
        <f>IF(K426="","",IF(OR(G426="channeling",G426="infusing"),"Magical",IF(G426="blocking","Anti-Physical",IF(G426="warding","Anti-Magical","Physical"))))</f>
        <v/>
      </c>
      <c r="O426">
        <f>IF(F426&lt;&gt;"armor","","TBD")</f>
        <v/>
      </c>
      <c r="P426">
        <f>IF(O426="","",IF(OR(G426="channeling",G426="infusing"),"Magical",IF(G426="blocking","Anti-Physical",IF(G426="warding","Anti-Magical","Physical"))))</f>
        <v/>
      </c>
    </row>
    <row r="427">
      <c r="J427">
        <f>IF(G427="","",IFERROR(IF(G427="infusing",IFERROR(LOOKUP(2,1/ISNUMBER(SEARCH(_lookup!$D$3:$D$4,H427)),_lookup!$E$3:$E$4),"INT"),VLOOKUP(G427,_lookup!$A$3:$B$14,2,FALSE)),""))</f>
        <v/>
      </c>
      <c r="K427">
        <f>IF(F427&lt;&gt;"weapon","",IF(G427="miscellaneous","1-4",IF(I427="","",IFERROR(VLOOKUP(I427&amp;"|"&amp;IF(LEFT(H427,2)="2H",2,1)&amp;"|"&amp;IF(G427="slashing",1,0),_lookup!$G$3:$H$18,2,FALSE),""))))</f>
        <v/>
      </c>
      <c r="L427">
        <f>IF(K427="","",IF(OR(G427="channeling",G427="infusing"),"Magical",IF(G427="blocking","Anti-Physical",IF(G427="warding","Anti-Magical","Physical"))))</f>
        <v/>
      </c>
      <c r="O427">
        <f>IF(F427&lt;&gt;"armor","","TBD")</f>
        <v/>
      </c>
      <c r="P427">
        <f>IF(O427="","",IF(OR(G427="channeling",G427="infusing"),"Magical",IF(G427="blocking","Anti-Physical",IF(G427="warding","Anti-Magical","Physical"))))</f>
        <v/>
      </c>
    </row>
    <row r="428">
      <c r="J428">
        <f>IF(G428="","",IFERROR(IF(G428="infusing",IFERROR(LOOKUP(2,1/ISNUMBER(SEARCH(_lookup!$D$3:$D$4,H428)),_lookup!$E$3:$E$4),"INT"),VLOOKUP(G428,_lookup!$A$3:$B$14,2,FALSE)),""))</f>
        <v/>
      </c>
      <c r="K428">
        <f>IF(F428&lt;&gt;"weapon","",IF(G428="miscellaneous","1-4",IF(I428="","",IFERROR(VLOOKUP(I428&amp;"|"&amp;IF(LEFT(H428,2)="2H",2,1)&amp;"|"&amp;IF(G428="slashing",1,0),_lookup!$G$3:$H$18,2,FALSE),""))))</f>
        <v/>
      </c>
      <c r="L428">
        <f>IF(K428="","",IF(OR(G428="channeling",G428="infusing"),"Magical",IF(G428="blocking","Anti-Physical",IF(G428="warding","Anti-Magical","Physical"))))</f>
        <v/>
      </c>
      <c r="O428">
        <f>IF(F428&lt;&gt;"armor","","TBD")</f>
        <v/>
      </c>
      <c r="P428">
        <f>IF(O428="","",IF(OR(G428="channeling",G428="infusing"),"Magical",IF(G428="blocking","Anti-Physical",IF(G428="warding","Anti-Magical","Physical"))))</f>
        <v/>
      </c>
    </row>
    <row r="429">
      <c r="J429">
        <f>IF(G429="","",IFERROR(IF(G429="infusing",IFERROR(LOOKUP(2,1/ISNUMBER(SEARCH(_lookup!$D$3:$D$4,H429)),_lookup!$E$3:$E$4),"INT"),VLOOKUP(G429,_lookup!$A$3:$B$14,2,FALSE)),""))</f>
        <v/>
      </c>
      <c r="K429">
        <f>IF(F429&lt;&gt;"weapon","",IF(G429="miscellaneous","1-4",IF(I429="","",IFERROR(VLOOKUP(I429&amp;"|"&amp;IF(LEFT(H429,2)="2H",2,1)&amp;"|"&amp;IF(G429="slashing",1,0),_lookup!$G$3:$H$18,2,FALSE),""))))</f>
        <v/>
      </c>
      <c r="L429">
        <f>IF(K429="","",IF(OR(G429="channeling",G429="infusing"),"Magical",IF(G429="blocking","Anti-Physical",IF(G429="warding","Anti-Magical","Physical"))))</f>
        <v/>
      </c>
      <c r="O429">
        <f>IF(F429&lt;&gt;"armor","","TBD")</f>
        <v/>
      </c>
      <c r="P429">
        <f>IF(O429="","",IF(OR(G429="channeling",G429="infusing"),"Magical",IF(G429="blocking","Anti-Physical",IF(G429="warding","Anti-Magical","Physical"))))</f>
        <v/>
      </c>
    </row>
    <row r="430">
      <c r="J430">
        <f>IF(G430="","",IFERROR(IF(G430="infusing",IFERROR(LOOKUP(2,1/ISNUMBER(SEARCH(_lookup!$D$3:$D$4,H430)),_lookup!$E$3:$E$4),"INT"),VLOOKUP(G430,_lookup!$A$3:$B$14,2,FALSE)),""))</f>
        <v/>
      </c>
      <c r="K430">
        <f>IF(F430&lt;&gt;"weapon","",IF(G430="miscellaneous","1-4",IF(I430="","",IFERROR(VLOOKUP(I430&amp;"|"&amp;IF(LEFT(H430,2)="2H",2,1)&amp;"|"&amp;IF(G430="slashing",1,0),_lookup!$G$3:$H$18,2,FALSE),""))))</f>
        <v/>
      </c>
      <c r="L430">
        <f>IF(K430="","",IF(OR(G430="channeling",G430="infusing"),"Magical",IF(G430="blocking","Anti-Physical",IF(G430="warding","Anti-Magical","Physical"))))</f>
        <v/>
      </c>
      <c r="O430">
        <f>IF(F430&lt;&gt;"armor","","TBD")</f>
        <v/>
      </c>
      <c r="P430">
        <f>IF(O430="","",IF(OR(G430="channeling",G430="infusing"),"Magical",IF(G430="blocking","Anti-Physical",IF(G430="warding","Anti-Magical","Physical"))))</f>
        <v/>
      </c>
    </row>
    <row r="431">
      <c r="J431">
        <f>IF(G431="","",IFERROR(IF(G431="infusing",IFERROR(LOOKUP(2,1/ISNUMBER(SEARCH(_lookup!$D$3:$D$4,H431)),_lookup!$E$3:$E$4),"INT"),VLOOKUP(G431,_lookup!$A$3:$B$14,2,FALSE)),""))</f>
        <v/>
      </c>
      <c r="K431">
        <f>IF(F431&lt;&gt;"weapon","",IF(G431="miscellaneous","1-4",IF(I431="","",IFERROR(VLOOKUP(I431&amp;"|"&amp;IF(LEFT(H431,2)="2H",2,1)&amp;"|"&amp;IF(G431="slashing",1,0),_lookup!$G$3:$H$18,2,FALSE),""))))</f>
        <v/>
      </c>
      <c r="L431">
        <f>IF(K431="","",IF(OR(G431="channeling",G431="infusing"),"Magical",IF(G431="blocking","Anti-Physical",IF(G431="warding","Anti-Magical","Physical"))))</f>
        <v/>
      </c>
      <c r="O431">
        <f>IF(F431&lt;&gt;"armor","","TBD")</f>
        <v/>
      </c>
      <c r="P431">
        <f>IF(O431="","",IF(OR(G431="channeling",G431="infusing"),"Magical",IF(G431="blocking","Anti-Physical",IF(G431="warding","Anti-Magical","Physical"))))</f>
        <v/>
      </c>
    </row>
    <row r="432">
      <c r="J432">
        <f>IF(G432="","",IFERROR(IF(G432="infusing",IFERROR(LOOKUP(2,1/ISNUMBER(SEARCH(_lookup!$D$3:$D$4,H432)),_lookup!$E$3:$E$4),"INT"),VLOOKUP(G432,_lookup!$A$3:$B$14,2,FALSE)),""))</f>
        <v/>
      </c>
      <c r="K432">
        <f>IF(F432&lt;&gt;"weapon","",IF(G432="miscellaneous","1-4",IF(I432="","",IFERROR(VLOOKUP(I432&amp;"|"&amp;IF(LEFT(H432,2)="2H",2,1)&amp;"|"&amp;IF(G432="slashing",1,0),_lookup!$G$3:$H$18,2,FALSE),""))))</f>
        <v/>
      </c>
      <c r="L432">
        <f>IF(K432="","",IF(OR(G432="channeling",G432="infusing"),"Magical",IF(G432="blocking","Anti-Physical",IF(G432="warding","Anti-Magical","Physical"))))</f>
        <v/>
      </c>
      <c r="O432">
        <f>IF(F432&lt;&gt;"armor","","TBD")</f>
        <v/>
      </c>
      <c r="P432">
        <f>IF(O432="","",IF(OR(G432="channeling",G432="infusing"),"Magical",IF(G432="blocking","Anti-Physical",IF(G432="warding","Anti-Magical","Physical"))))</f>
        <v/>
      </c>
    </row>
    <row r="433">
      <c r="J433">
        <f>IF(G433="","",IFERROR(IF(G433="infusing",IFERROR(LOOKUP(2,1/ISNUMBER(SEARCH(_lookup!$D$3:$D$4,H433)),_lookup!$E$3:$E$4),"INT"),VLOOKUP(G433,_lookup!$A$3:$B$14,2,FALSE)),""))</f>
        <v/>
      </c>
      <c r="K433">
        <f>IF(F433&lt;&gt;"weapon","",IF(G433="miscellaneous","1-4",IF(I433="","",IFERROR(VLOOKUP(I433&amp;"|"&amp;IF(LEFT(H433,2)="2H",2,1)&amp;"|"&amp;IF(G433="slashing",1,0),_lookup!$G$3:$H$18,2,FALSE),""))))</f>
        <v/>
      </c>
      <c r="L433">
        <f>IF(K433="","",IF(OR(G433="channeling",G433="infusing"),"Magical",IF(G433="blocking","Anti-Physical",IF(G433="warding","Anti-Magical","Physical"))))</f>
        <v/>
      </c>
      <c r="O433">
        <f>IF(F433&lt;&gt;"armor","","TBD")</f>
        <v/>
      </c>
      <c r="P433">
        <f>IF(O433="","",IF(OR(G433="channeling",G433="infusing"),"Magical",IF(G433="blocking","Anti-Physical",IF(G433="warding","Anti-Magical","Physical"))))</f>
        <v/>
      </c>
    </row>
    <row r="434">
      <c r="J434">
        <f>IF(G434="","",IFERROR(IF(G434="infusing",IFERROR(LOOKUP(2,1/ISNUMBER(SEARCH(_lookup!$D$3:$D$4,H434)),_lookup!$E$3:$E$4),"INT"),VLOOKUP(G434,_lookup!$A$3:$B$14,2,FALSE)),""))</f>
        <v/>
      </c>
      <c r="K434">
        <f>IF(F434&lt;&gt;"weapon","",IF(G434="miscellaneous","1-4",IF(I434="","",IFERROR(VLOOKUP(I434&amp;"|"&amp;IF(LEFT(H434,2)="2H",2,1)&amp;"|"&amp;IF(G434="slashing",1,0),_lookup!$G$3:$H$18,2,FALSE),""))))</f>
        <v/>
      </c>
      <c r="L434">
        <f>IF(K434="","",IF(OR(G434="channeling",G434="infusing"),"Magical",IF(G434="blocking","Anti-Physical",IF(G434="warding","Anti-Magical","Physical"))))</f>
        <v/>
      </c>
      <c r="O434">
        <f>IF(F434&lt;&gt;"armor","","TBD")</f>
        <v/>
      </c>
      <c r="P434">
        <f>IF(O434="","",IF(OR(G434="channeling",G434="infusing"),"Magical",IF(G434="blocking","Anti-Physical",IF(G434="warding","Anti-Magical","Physical"))))</f>
        <v/>
      </c>
    </row>
    <row r="435">
      <c r="J435">
        <f>IF(G435="","",IFERROR(IF(G435="infusing",IFERROR(LOOKUP(2,1/ISNUMBER(SEARCH(_lookup!$D$3:$D$4,H435)),_lookup!$E$3:$E$4),"INT"),VLOOKUP(G435,_lookup!$A$3:$B$14,2,FALSE)),""))</f>
        <v/>
      </c>
      <c r="K435">
        <f>IF(F435&lt;&gt;"weapon","",IF(G435="miscellaneous","1-4",IF(I435="","",IFERROR(VLOOKUP(I435&amp;"|"&amp;IF(LEFT(H435,2)="2H",2,1)&amp;"|"&amp;IF(G435="slashing",1,0),_lookup!$G$3:$H$18,2,FALSE),""))))</f>
        <v/>
      </c>
      <c r="L435">
        <f>IF(K435="","",IF(OR(G435="channeling",G435="infusing"),"Magical",IF(G435="blocking","Anti-Physical",IF(G435="warding","Anti-Magical","Physical"))))</f>
        <v/>
      </c>
      <c r="O435">
        <f>IF(F435&lt;&gt;"armor","","TBD")</f>
        <v/>
      </c>
      <c r="P435">
        <f>IF(O435="","",IF(OR(G435="channeling",G435="infusing"),"Magical",IF(G435="blocking","Anti-Physical",IF(G435="warding","Anti-Magical","Physical"))))</f>
        <v/>
      </c>
    </row>
    <row r="436">
      <c r="J436">
        <f>IF(G436="","",IFERROR(IF(G436="infusing",IFERROR(LOOKUP(2,1/ISNUMBER(SEARCH(_lookup!$D$3:$D$4,H436)),_lookup!$E$3:$E$4),"INT"),VLOOKUP(G436,_lookup!$A$3:$B$14,2,FALSE)),""))</f>
        <v/>
      </c>
      <c r="K436">
        <f>IF(F436&lt;&gt;"weapon","",IF(G436="miscellaneous","1-4",IF(I436="","",IFERROR(VLOOKUP(I436&amp;"|"&amp;IF(LEFT(H436,2)="2H",2,1)&amp;"|"&amp;IF(G436="slashing",1,0),_lookup!$G$3:$H$18,2,FALSE),""))))</f>
        <v/>
      </c>
      <c r="L436">
        <f>IF(K436="","",IF(OR(G436="channeling",G436="infusing"),"Magical",IF(G436="blocking","Anti-Physical",IF(G436="warding","Anti-Magical","Physical"))))</f>
        <v/>
      </c>
      <c r="O436">
        <f>IF(F436&lt;&gt;"armor","","TBD")</f>
        <v/>
      </c>
      <c r="P436">
        <f>IF(O436="","",IF(OR(G436="channeling",G436="infusing"),"Magical",IF(G436="blocking","Anti-Physical",IF(G436="warding","Anti-Magical","Physical"))))</f>
        <v/>
      </c>
    </row>
    <row r="437">
      <c r="J437">
        <f>IF(G437="","",IFERROR(IF(G437="infusing",IFERROR(LOOKUP(2,1/ISNUMBER(SEARCH(_lookup!$D$3:$D$4,H437)),_lookup!$E$3:$E$4),"INT"),VLOOKUP(G437,_lookup!$A$3:$B$14,2,FALSE)),""))</f>
        <v/>
      </c>
      <c r="K437">
        <f>IF(F437&lt;&gt;"weapon","",IF(G437="miscellaneous","1-4",IF(I437="","",IFERROR(VLOOKUP(I437&amp;"|"&amp;IF(LEFT(H437,2)="2H",2,1)&amp;"|"&amp;IF(G437="slashing",1,0),_lookup!$G$3:$H$18,2,FALSE),""))))</f>
        <v/>
      </c>
      <c r="L437">
        <f>IF(K437="","",IF(OR(G437="channeling",G437="infusing"),"Magical",IF(G437="blocking","Anti-Physical",IF(G437="warding","Anti-Magical","Physical"))))</f>
        <v/>
      </c>
      <c r="O437">
        <f>IF(F437&lt;&gt;"armor","","TBD")</f>
        <v/>
      </c>
      <c r="P437">
        <f>IF(O437="","",IF(OR(G437="channeling",G437="infusing"),"Magical",IF(G437="blocking","Anti-Physical",IF(G437="warding","Anti-Magical","Physical"))))</f>
        <v/>
      </c>
    </row>
    <row r="438">
      <c r="J438">
        <f>IF(G438="","",IFERROR(IF(G438="infusing",IFERROR(LOOKUP(2,1/ISNUMBER(SEARCH(_lookup!$D$3:$D$4,H438)),_lookup!$E$3:$E$4),"INT"),VLOOKUP(G438,_lookup!$A$3:$B$14,2,FALSE)),""))</f>
        <v/>
      </c>
      <c r="K438">
        <f>IF(F438&lt;&gt;"weapon","",IF(G438="miscellaneous","1-4",IF(I438="","",IFERROR(VLOOKUP(I438&amp;"|"&amp;IF(LEFT(H438,2)="2H",2,1)&amp;"|"&amp;IF(G438="slashing",1,0),_lookup!$G$3:$H$18,2,FALSE),""))))</f>
        <v/>
      </c>
      <c r="L438">
        <f>IF(K438="","",IF(OR(G438="channeling",G438="infusing"),"Magical",IF(G438="blocking","Anti-Physical",IF(G438="warding","Anti-Magical","Physical"))))</f>
        <v/>
      </c>
      <c r="O438">
        <f>IF(F438&lt;&gt;"armor","","TBD")</f>
        <v/>
      </c>
      <c r="P438">
        <f>IF(O438="","",IF(OR(G438="channeling",G438="infusing"),"Magical",IF(G438="blocking","Anti-Physical",IF(G438="warding","Anti-Magical","Physical"))))</f>
        <v/>
      </c>
    </row>
    <row r="439">
      <c r="J439">
        <f>IF(G439="","",IFERROR(IF(G439="infusing",IFERROR(LOOKUP(2,1/ISNUMBER(SEARCH(_lookup!$D$3:$D$4,H439)),_lookup!$E$3:$E$4),"INT"),VLOOKUP(G439,_lookup!$A$3:$B$14,2,FALSE)),""))</f>
        <v/>
      </c>
      <c r="K439">
        <f>IF(F439&lt;&gt;"weapon","",IF(G439="miscellaneous","1-4",IF(I439="","",IFERROR(VLOOKUP(I439&amp;"|"&amp;IF(LEFT(H439,2)="2H",2,1)&amp;"|"&amp;IF(G439="slashing",1,0),_lookup!$G$3:$H$18,2,FALSE),""))))</f>
        <v/>
      </c>
      <c r="L439">
        <f>IF(K439="","",IF(OR(G439="channeling",G439="infusing"),"Magical",IF(G439="blocking","Anti-Physical",IF(G439="warding","Anti-Magical","Physical"))))</f>
        <v/>
      </c>
      <c r="O439">
        <f>IF(F439&lt;&gt;"armor","","TBD")</f>
        <v/>
      </c>
      <c r="P439">
        <f>IF(O439="","",IF(OR(G439="channeling",G439="infusing"),"Magical",IF(G439="blocking","Anti-Physical",IF(G439="warding","Anti-Magical","Physical"))))</f>
        <v/>
      </c>
    </row>
    <row r="440">
      <c r="J440">
        <f>IF(G440="","",IFERROR(IF(G440="infusing",IFERROR(LOOKUP(2,1/ISNUMBER(SEARCH(_lookup!$D$3:$D$4,H440)),_lookup!$E$3:$E$4),"INT"),VLOOKUP(G440,_lookup!$A$3:$B$14,2,FALSE)),""))</f>
        <v/>
      </c>
      <c r="K440">
        <f>IF(F440&lt;&gt;"weapon","",IF(G440="miscellaneous","1-4",IF(I440="","",IFERROR(VLOOKUP(I440&amp;"|"&amp;IF(LEFT(H440,2)="2H",2,1)&amp;"|"&amp;IF(G440="slashing",1,0),_lookup!$G$3:$H$18,2,FALSE),""))))</f>
        <v/>
      </c>
      <c r="L440">
        <f>IF(K440="","",IF(OR(G440="channeling",G440="infusing"),"Magical",IF(G440="blocking","Anti-Physical",IF(G440="warding","Anti-Magical","Physical"))))</f>
        <v/>
      </c>
      <c r="O440">
        <f>IF(F440&lt;&gt;"armor","","TBD")</f>
        <v/>
      </c>
      <c r="P440">
        <f>IF(O440="","",IF(OR(G440="channeling",G440="infusing"),"Magical",IF(G440="blocking","Anti-Physical",IF(G440="warding","Anti-Magical","Physical"))))</f>
        <v/>
      </c>
    </row>
    <row r="441">
      <c r="J441">
        <f>IF(G441="","",IFERROR(IF(G441="infusing",IFERROR(LOOKUP(2,1/ISNUMBER(SEARCH(_lookup!$D$3:$D$4,H441)),_lookup!$E$3:$E$4),"INT"),VLOOKUP(G441,_lookup!$A$3:$B$14,2,FALSE)),""))</f>
        <v/>
      </c>
      <c r="K441">
        <f>IF(F441&lt;&gt;"weapon","",IF(G441="miscellaneous","1-4",IF(I441="","",IFERROR(VLOOKUP(I441&amp;"|"&amp;IF(LEFT(H441,2)="2H",2,1)&amp;"|"&amp;IF(G441="slashing",1,0),_lookup!$G$3:$H$18,2,FALSE),""))))</f>
        <v/>
      </c>
      <c r="L441">
        <f>IF(K441="","",IF(OR(G441="channeling",G441="infusing"),"Magical",IF(G441="blocking","Anti-Physical",IF(G441="warding","Anti-Magical","Physical"))))</f>
        <v/>
      </c>
      <c r="O441">
        <f>IF(F441&lt;&gt;"armor","","TBD")</f>
        <v/>
      </c>
      <c r="P441">
        <f>IF(O441="","",IF(OR(G441="channeling",G441="infusing"),"Magical",IF(G441="blocking","Anti-Physical",IF(G441="warding","Anti-Magical","Physical"))))</f>
        <v/>
      </c>
    </row>
    <row r="442">
      <c r="J442">
        <f>IF(G442="","",IFERROR(IF(G442="infusing",IFERROR(LOOKUP(2,1/ISNUMBER(SEARCH(_lookup!$D$3:$D$4,H442)),_lookup!$E$3:$E$4),"INT"),VLOOKUP(G442,_lookup!$A$3:$B$14,2,FALSE)),""))</f>
        <v/>
      </c>
      <c r="K442">
        <f>IF(F442&lt;&gt;"weapon","",IF(G442="miscellaneous","1-4",IF(I442="","",IFERROR(VLOOKUP(I442&amp;"|"&amp;IF(LEFT(H442,2)="2H",2,1)&amp;"|"&amp;IF(G442="slashing",1,0),_lookup!$G$3:$H$18,2,FALSE),""))))</f>
        <v/>
      </c>
      <c r="L442">
        <f>IF(K442="","",IF(OR(G442="channeling",G442="infusing"),"Magical",IF(G442="blocking","Anti-Physical",IF(G442="warding","Anti-Magical","Physical"))))</f>
        <v/>
      </c>
      <c r="O442">
        <f>IF(F442&lt;&gt;"armor","","TBD")</f>
        <v/>
      </c>
      <c r="P442">
        <f>IF(O442="","",IF(OR(G442="channeling",G442="infusing"),"Magical",IF(G442="blocking","Anti-Physical",IF(G442="warding","Anti-Magical","Physical"))))</f>
        <v/>
      </c>
    </row>
    <row r="443">
      <c r="J443">
        <f>IF(G443="","",IFERROR(IF(G443="infusing",IFERROR(LOOKUP(2,1/ISNUMBER(SEARCH(_lookup!$D$3:$D$4,H443)),_lookup!$E$3:$E$4),"INT"),VLOOKUP(G443,_lookup!$A$3:$B$14,2,FALSE)),""))</f>
        <v/>
      </c>
      <c r="K443">
        <f>IF(F443&lt;&gt;"weapon","",IF(G443="miscellaneous","1-4",IF(I443="","",IFERROR(VLOOKUP(I443&amp;"|"&amp;IF(LEFT(H443,2)="2H",2,1)&amp;"|"&amp;IF(G443="slashing",1,0),_lookup!$G$3:$H$18,2,FALSE),""))))</f>
        <v/>
      </c>
      <c r="L443">
        <f>IF(K443="","",IF(OR(G443="channeling",G443="infusing"),"Magical",IF(G443="blocking","Anti-Physical",IF(G443="warding","Anti-Magical","Physical"))))</f>
        <v/>
      </c>
      <c r="O443">
        <f>IF(F443&lt;&gt;"armor","","TBD")</f>
        <v/>
      </c>
      <c r="P443">
        <f>IF(O443="","",IF(OR(G443="channeling",G443="infusing"),"Magical",IF(G443="blocking","Anti-Physical",IF(G443="warding","Anti-Magical","Physical"))))</f>
        <v/>
      </c>
    </row>
    <row r="444">
      <c r="J444">
        <f>IF(G444="","",IFERROR(IF(G444="infusing",IFERROR(LOOKUP(2,1/ISNUMBER(SEARCH(_lookup!$D$3:$D$4,H444)),_lookup!$E$3:$E$4),"INT"),VLOOKUP(G444,_lookup!$A$3:$B$14,2,FALSE)),""))</f>
        <v/>
      </c>
      <c r="K444">
        <f>IF(F444&lt;&gt;"weapon","",IF(G444="miscellaneous","1-4",IF(I444="","",IFERROR(VLOOKUP(I444&amp;"|"&amp;IF(LEFT(H444,2)="2H",2,1)&amp;"|"&amp;IF(G444="slashing",1,0),_lookup!$G$3:$H$18,2,FALSE),""))))</f>
        <v/>
      </c>
      <c r="L444">
        <f>IF(K444="","",IF(OR(G444="channeling",G444="infusing"),"Magical",IF(G444="blocking","Anti-Physical",IF(G444="warding","Anti-Magical","Physical"))))</f>
        <v/>
      </c>
      <c r="O444">
        <f>IF(F444&lt;&gt;"armor","","TBD")</f>
        <v/>
      </c>
      <c r="P444">
        <f>IF(O444="","",IF(OR(G444="channeling",G444="infusing"),"Magical",IF(G444="blocking","Anti-Physical",IF(G444="warding","Anti-Magical","Physical"))))</f>
        <v/>
      </c>
    </row>
    <row r="445">
      <c r="J445">
        <f>IF(G445="","",IFERROR(IF(G445="infusing",IFERROR(LOOKUP(2,1/ISNUMBER(SEARCH(_lookup!$D$3:$D$4,H445)),_lookup!$E$3:$E$4),"INT"),VLOOKUP(G445,_lookup!$A$3:$B$14,2,FALSE)),""))</f>
        <v/>
      </c>
      <c r="K445">
        <f>IF(F445&lt;&gt;"weapon","",IF(G445="miscellaneous","1-4",IF(I445="","",IFERROR(VLOOKUP(I445&amp;"|"&amp;IF(LEFT(H445,2)="2H",2,1)&amp;"|"&amp;IF(G445="slashing",1,0),_lookup!$G$3:$H$18,2,FALSE),""))))</f>
        <v/>
      </c>
      <c r="L445">
        <f>IF(K445="","",IF(OR(G445="channeling",G445="infusing"),"Magical",IF(G445="blocking","Anti-Physical",IF(G445="warding","Anti-Magical","Physical"))))</f>
        <v/>
      </c>
      <c r="O445">
        <f>IF(F445&lt;&gt;"armor","","TBD")</f>
        <v/>
      </c>
      <c r="P445">
        <f>IF(O445="","",IF(OR(G445="channeling",G445="infusing"),"Magical",IF(G445="blocking","Anti-Physical",IF(G445="warding","Anti-Magical","Physical"))))</f>
        <v/>
      </c>
    </row>
    <row r="446">
      <c r="J446">
        <f>IF(G446="","",IFERROR(IF(G446="infusing",IFERROR(LOOKUP(2,1/ISNUMBER(SEARCH(_lookup!$D$3:$D$4,H446)),_lookup!$E$3:$E$4),"INT"),VLOOKUP(G446,_lookup!$A$3:$B$14,2,FALSE)),""))</f>
        <v/>
      </c>
      <c r="K446">
        <f>IF(F446&lt;&gt;"weapon","",IF(G446="miscellaneous","1-4",IF(I446="","",IFERROR(VLOOKUP(I446&amp;"|"&amp;IF(LEFT(H446,2)="2H",2,1)&amp;"|"&amp;IF(G446="slashing",1,0),_lookup!$G$3:$H$18,2,FALSE),""))))</f>
        <v/>
      </c>
      <c r="L446">
        <f>IF(K446="","",IF(OR(G446="channeling",G446="infusing"),"Magical",IF(G446="blocking","Anti-Physical",IF(G446="warding","Anti-Magical","Physical"))))</f>
        <v/>
      </c>
      <c r="O446">
        <f>IF(F446&lt;&gt;"armor","","TBD")</f>
        <v/>
      </c>
      <c r="P446">
        <f>IF(O446="","",IF(OR(G446="channeling",G446="infusing"),"Magical",IF(G446="blocking","Anti-Physical",IF(G446="warding","Anti-Magical","Physical"))))</f>
        <v/>
      </c>
    </row>
    <row r="447">
      <c r="J447">
        <f>IF(G447="","",IFERROR(IF(G447="infusing",IFERROR(LOOKUP(2,1/ISNUMBER(SEARCH(_lookup!$D$3:$D$4,H447)),_lookup!$E$3:$E$4),"INT"),VLOOKUP(G447,_lookup!$A$3:$B$14,2,FALSE)),""))</f>
        <v/>
      </c>
      <c r="K447">
        <f>IF(F447&lt;&gt;"weapon","",IF(G447="miscellaneous","1-4",IF(I447="","",IFERROR(VLOOKUP(I447&amp;"|"&amp;IF(LEFT(H447,2)="2H",2,1)&amp;"|"&amp;IF(G447="slashing",1,0),_lookup!$G$3:$H$18,2,FALSE),""))))</f>
        <v/>
      </c>
      <c r="L447">
        <f>IF(K447="","",IF(OR(G447="channeling",G447="infusing"),"Magical",IF(G447="blocking","Anti-Physical",IF(G447="warding","Anti-Magical","Physical"))))</f>
        <v/>
      </c>
      <c r="O447">
        <f>IF(F447&lt;&gt;"armor","","TBD")</f>
        <v/>
      </c>
      <c r="P447">
        <f>IF(O447="","",IF(OR(G447="channeling",G447="infusing"),"Magical",IF(G447="blocking","Anti-Physical",IF(G447="warding","Anti-Magical","Physical"))))</f>
        <v/>
      </c>
    </row>
    <row r="448">
      <c r="J448">
        <f>IF(G448="","",IFERROR(IF(G448="infusing",IFERROR(LOOKUP(2,1/ISNUMBER(SEARCH(_lookup!$D$3:$D$4,H448)),_lookup!$E$3:$E$4),"INT"),VLOOKUP(G448,_lookup!$A$3:$B$14,2,FALSE)),""))</f>
        <v/>
      </c>
      <c r="K448">
        <f>IF(F448&lt;&gt;"weapon","",IF(G448="miscellaneous","1-4",IF(I448="","",IFERROR(VLOOKUP(I448&amp;"|"&amp;IF(LEFT(H448,2)="2H",2,1)&amp;"|"&amp;IF(G448="slashing",1,0),_lookup!$G$3:$H$18,2,FALSE),""))))</f>
        <v/>
      </c>
      <c r="L448">
        <f>IF(K448="","",IF(OR(G448="channeling",G448="infusing"),"Magical",IF(G448="blocking","Anti-Physical",IF(G448="warding","Anti-Magical","Physical"))))</f>
        <v/>
      </c>
      <c r="O448">
        <f>IF(F448&lt;&gt;"armor","","TBD")</f>
        <v/>
      </c>
      <c r="P448">
        <f>IF(O448="","",IF(OR(G448="channeling",G448="infusing"),"Magical",IF(G448="blocking","Anti-Physical",IF(G448="warding","Anti-Magical","Physical"))))</f>
        <v/>
      </c>
    </row>
    <row r="449">
      <c r="J449">
        <f>IF(G449="","",IFERROR(IF(G449="infusing",IFERROR(LOOKUP(2,1/ISNUMBER(SEARCH(_lookup!$D$3:$D$4,H449)),_lookup!$E$3:$E$4),"INT"),VLOOKUP(G449,_lookup!$A$3:$B$14,2,FALSE)),""))</f>
        <v/>
      </c>
      <c r="K449">
        <f>IF(F449&lt;&gt;"weapon","",IF(G449="miscellaneous","1-4",IF(I449="","",IFERROR(VLOOKUP(I449&amp;"|"&amp;IF(LEFT(H449,2)="2H",2,1)&amp;"|"&amp;IF(G449="slashing",1,0),_lookup!$G$3:$H$18,2,FALSE),""))))</f>
        <v/>
      </c>
      <c r="L449">
        <f>IF(K449="","",IF(OR(G449="channeling",G449="infusing"),"Magical",IF(G449="blocking","Anti-Physical",IF(G449="warding","Anti-Magical","Physical"))))</f>
        <v/>
      </c>
      <c r="O449">
        <f>IF(F449&lt;&gt;"armor","","TBD")</f>
        <v/>
      </c>
      <c r="P449">
        <f>IF(O449="","",IF(OR(G449="channeling",G449="infusing"),"Magical",IF(G449="blocking","Anti-Physical",IF(G449="warding","Anti-Magical","Physical"))))</f>
        <v/>
      </c>
    </row>
    <row r="450">
      <c r="J450">
        <f>IF(G450="","",IFERROR(IF(G450="infusing",IFERROR(LOOKUP(2,1/ISNUMBER(SEARCH(_lookup!$D$3:$D$4,H450)),_lookup!$E$3:$E$4),"INT"),VLOOKUP(G450,_lookup!$A$3:$B$14,2,FALSE)),""))</f>
        <v/>
      </c>
      <c r="K450">
        <f>IF(F450&lt;&gt;"weapon","",IF(G450="miscellaneous","1-4",IF(I450="","",IFERROR(VLOOKUP(I450&amp;"|"&amp;IF(LEFT(H450,2)="2H",2,1)&amp;"|"&amp;IF(G450="slashing",1,0),_lookup!$G$3:$H$18,2,FALSE),""))))</f>
        <v/>
      </c>
      <c r="L450">
        <f>IF(K450="","",IF(OR(G450="channeling",G450="infusing"),"Magical",IF(G450="blocking","Anti-Physical",IF(G450="warding","Anti-Magical","Physical"))))</f>
        <v/>
      </c>
      <c r="O450">
        <f>IF(F450&lt;&gt;"armor","","TBD")</f>
        <v/>
      </c>
      <c r="P450">
        <f>IF(O450="","",IF(OR(G450="channeling",G450="infusing"),"Magical",IF(G450="blocking","Anti-Physical",IF(G450="warding","Anti-Magical","Physical"))))</f>
        <v/>
      </c>
    </row>
    <row r="451">
      <c r="J451">
        <f>IF(G451="","",IFERROR(IF(G451="infusing",IFERROR(LOOKUP(2,1/ISNUMBER(SEARCH(_lookup!$D$3:$D$4,H451)),_lookup!$E$3:$E$4),"INT"),VLOOKUP(G451,_lookup!$A$3:$B$14,2,FALSE)),""))</f>
        <v/>
      </c>
      <c r="K451">
        <f>IF(F451&lt;&gt;"weapon","",IF(G451="miscellaneous","1-4",IF(I451="","",IFERROR(VLOOKUP(I451&amp;"|"&amp;IF(LEFT(H451,2)="2H",2,1)&amp;"|"&amp;IF(G451="slashing",1,0),_lookup!$G$3:$H$18,2,FALSE),""))))</f>
        <v/>
      </c>
      <c r="L451">
        <f>IF(K451="","",IF(OR(G451="channeling",G451="infusing"),"Magical",IF(G451="blocking","Anti-Physical",IF(G451="warding","Anti-Magical","Physical"))))</f>
        <v/>
      </c>
      <c r="O451">
        <f>IF(F451&lt;&gt;"armor","","TBD")</f>
        <v/>
      </c>
      <c r="P451">
        <f>IF(O451="","",IF(OR(G451="channeling",G451="infusing"),"Magical",IF(G451="blocking","Anti-Physical",IF(G451="warding","Anti-Magical","Physical"))))</f>
        <v/>
      </c>
    </row>
    <row r="452">
      <c r="J452">
        <f>IF(G452="","",IFERROR(IF(G452="infusing",IFERROR(LOOKUP(2,1/ISNUMBER(SEARCH(_lookup!$D$3:$D$4,H452)),_lookup!$E$3:$E$4),"INT"),VLOOKUP(G452,_lookup!$A$3:$B$14,2,FALSE)),""))</f>
        <v/>
      </c>
      <c r="K452">
        <f>IF(F452&lt;&gt;"weapon","",IF(G452="miscellaneous","1-4",IF(I452="","",IFERROR(VLOOKUP(I452&amp;"|"&amp;IF(LEFT(H452,2)="2H",2,1)&amp;"|"&amp;IF(G452="slashing",1,0),_lookup!$G$3:$H$18,2,FALSE),""))))</f>
        <v/>
      </c>
      <c r="L452">
        <f>IF(K452="","",IF(OR(G452="channeling",G452="infusing"),"Magical",IF(G452="blocking","Anti-Physical",IF(G452="warding","Anti-Magical","Physical"))))</f>
        <v/>
      </c>
      <c r="O452">
        <f>IF(F452&lt;&gt;"armor","","TBD")</f>
        <v/>
      </c>
      <c r="P452">
        <f>IF(O452="","",IF(OR(G452="channeling",G452="infusing"),"Magical",IF(G452="blocking","Anti-Physical",IF(G452="warding","Anti-Magical","Physical"))))</f>
        <v/>
      </c>
    </row>
    <row r="453">
      <c r="J453">
        <f>IF(G453="","",IFERROR(IF(G453="infusing",IFERROR(LOOKUP(2,1/ISNUMBER(SEARCH(_lookup!$D$3:$D$4,H453)),_lookup!$E$3:$E$4),"INT"),VLOOKUP(G453,_lookup!$A$3:$B$14,2,FALSE)),""))</f>
        <v/>
      </c>
      <c r="K453">
        <f>IF(F453&lt;&gt;"weapon","",IF(G453="miscellaneous","1-4",IF(I453="","",IFERROR(VLOOKUP(I453&amp;"|"&amp;IF(LEFT(H453,2)="2H",2,1)&amp;"|"&amp;IF(G453="slashing",1,0),_lookup!$G$3:$H$18,2,FALSE),""))))</f>
        <v/>
      </c>
      <c r="L453">
        <f>IF(K453="","",IF(OR(G453="channeling",G453="infusing"),"Magical",IF(G453="blocking","Anti-Physical",IF(G453="warding","Anti-Magical","Physical"))))</f>
        <v/>
      </c>
      <c r="O453">
        <f>IF(F453&lt;&gt;"armor","","TBD")</f>
        <v/>
      </c>
      <c r="P453">
        <f>IF(O453="","",IF(OR(G453="channeling",G453="infusing"),"Magical",IF(G453="blocking","Anti-Physical",IF(G453="warding","Anti-Magical","Physical"))))</f>
        <v/>
      </c>
    </row>
    <row r="454">
      <c r="J454">
        <f>IF(G454="","",IFERROR(IF(G454="infusing",IFERROR(LOOKUP(2,1/ISNUMBER(SEARCH(_lookup!$D$3:$D$4,H454)),_lookup!$E$3:$E$4),"INT"),VLOOKUP(G454,_lookup!$A$3:$B$14,2,FALSE)),""))</f>
        <v/>
      </c>
      <c r="K454">
        <f>IF(F454&lt;&gt;"weapon","",IF(G454="miscellaneous","1-4",IF(I454="","",IFERROR(VLOOKUP(I454&amp;"|"&amp;IF(LEFT(H454,2)="2H",2,1)&amp;"|"&amp;IF(G454="slashing",1,0),_lookup!$G$3:$H$18,2,FALSE),""))))</f>
        <v/>
      </c>
      <c r="L454">
        <f>IF(K454="","",IF(OR(G454="channeling",G454="infusing"),"Magical",IF(G454="blocking","Anti-Physical",IF(G454="warding","Anti-Magical","Physical"))))</f>
        <v/>
      </c>
      <c r="O454">
        <f>IF(F454&lt;&gt;"armor","","TBD")</f>
        <v/>
      </c>
      <c r="P454">
        <f>IF(O454="","",IF(OR(G454="channeling",G454="infusing"),"Magical",IF(G454="blocking","Anti-Physical",IF(G454="warding","Anti-Magical","Physical"))))</f>
        <v/>
      </c>
    </row>
    <row r="455">
      <c r="J455">
        <f>IF(G455="","",IFERROR(IF(G455="infusing",IFERROR(LOOKUP(2,1/ISNUMBER(SEARCH(_lookup!$D$3:$D$4,H455)),_lookup!$E$3:$E$4),"INT"),VLOOKUP(G455,_lookup!$A$3:$B$14,2,FALSE)),""))</f>
        <v/>
      </c>
      <c r="K455">
        <f>IF(F455&lt;&gt;"weapon","",IF(G455="miscellaneous","1-4",IF(I455="","",IFERROR(VLOOKUP(I455&amp;"|"&amp;IF(LEFT(H455,2)="2H",2,1)&amp;"|"&amp;IF(G455="slashing",1,0),_lookup!$G$3:$H$18,2,FALSE),""))))</f>
        <v/>
      </c>
      <c r="L455">
        <f>IF(K455="","",IF(OR(G455="channeling",G455="infusing"),"Magical",IF(G455="blocking","Anti-Physical",IF(G455="warding","Anti-Magical","Physical"))))</f>
        <v/>
      </c>
      <c r="O455">
        <f>IF(F455&lt;&gt;"armor","","TBD")</f>
        <v/>
      </c>
      <c r="P455">
        <f>IF(O455="","",IF(OR(G455="channeling",G455="infusing"),"Magical",IF(G455="blocking","Anti-Physical",IF(G455="warding","Anti-Magical","Physical"))))</f>
        <v/>
      </c>
    </row>
    <row r="456">
      <c r="J456">
        <f>IF(G456="","",IFERROR(IF(G456="infusing",IFERROR(LOOKUP(2,1/ISNUMBER(SEARCH(_lookup!$D$3:$D$4,H456)),_lookup!$E$3:$E$4),"INT"),VLOOKUP(G456,_lookup!$A$3:$B$14,2,FALSE)),""))</f>
        <v/>
      </c>
      <c r="K456">
        <f>IF(F456&lt;&gt;"weapon","",IF(G456="miscellaneous","1-4",IF(I456="","",IFERROR(VLOOKUP(I456&amp;"|"&amp;IF(LEFT(H456,2)="2H",2,1)&amp;"|"&amp;IF(G456="slashing",1,0),_lookup!$G$3:$H$18,2,FALSE),""))))</f>
        <v/>
      </c>
      <c r="L456">
        <f>IF(K456="","",IF(OR(G456="channeling",G456="infusing"),"Magical",IF(G456="blocking","Anti-Physical",IF(G456="warding","Anti-Magical","Physical"))))</f>
        <v/>
      </c>
      <c r="O456">
        <f>IF(F456&lt;&gt;"armor","","TBD")</f>
        <v/>
      </c>
      <c r="P456">
        <f>IF(O456="","",IF(OR(G456="channeling",G456="infusing"),"Magical",IF(G456="blocking","Anti-Physical",IF(G456="warding","Anti-Magical","Physical"))))</f>
        <v/>
      </c>
    </row>
    <row r="457">
      <c r="J457">
        <f>IF(G457="","",IFERROR(IF(G457="infusing",IFERROR(LOOKUP(2,1/ISNUMBER(SEARCH(_lookup!$D$3:$D$4,H457)),_lookup!$E$3:$E$4),"INT"),VLOOKUP(G457,_lookup!$A$3:$B$14,2,FALSE)),""))</f>
        <v/>
      </c>
      <c r="K457">
        <f>IF(F457&lt;&gt;"weapon","",IF(G457="miscellaneous","1-4",IF(I457="","",IFERROR(VLOOKUP(I457&amp;"|"&amp;IF(LEFT(H457,2)="2H",2,1)&amp;"|"&amp;IF(G457="slashing",1,0),_lookup!$G$3:$H$18,2,FALSE),""))))</f>
        <v/>
      </c>
      <c r="L457">
        <f>IF(K457="","",IF(OR(G457="channeling",G457="infusing"),"Magical",IF(G457="blocking","Anti-Physical",IF(G457="warding","Anti-Magical","Physical"))))</f>
        <v/>
      </c>
      <c r="O457">
        <f>IF(F457&lt;&gt;"armor","","TBD")</f>
        <v/>
      </c>
      <c r="P457">
        <f>IF(O457="","",IF(OR(G457="channeling",G457="infusing"),"Magical",IF(G457="blocking","Anti-Physical",IF(G457="warding","Anti-Magical","Physical"))))</f>
        <v/>
      </c>
    </row>
    <row r="458">
      <c r="J458">
        <f>IF(G458="","",IFERROR(IF(G458="infusing",IFERROR(LOOKUP(2,1/ISNUMBER(SEARCH(_lookup!$D$3:$D$4,H458)),_lookup!$E$3:$E$4),"INT"),VLOOKUP(G458,_lookup!$A$3:$B$14,2,FALSE)),""))</f>
        <v/>
      </c>
      <c r="K458">
        <f>IF(F458&lt;&gt;"weapon","",IF(G458="miscellaneous","1-4",IF(I458="","",IFERROR(VLOOKUP(I458&amp;"|"&amp;IF(LEFT(H458,2)="2H",2,1)&amp;"|"&amp;IF(G458="slashing",1,0),_lookup!$G$3:$H$18,2,FALSE),""))))</f>
        <v/>
      </c>
      <c r="L458">
        <f>IF(K458="","",IF(OR(G458="channeling",G458="infusing"),"Magical",IF(G458="blocking","Anti-Physical",IF(G458="warding","Anti-Magical","Physical"))))</f>
        <v/>
      </c>
      <c r="O458">
        <f>IF(F458&lt;&gt;"armor","","TBD")</f>
        <v/>
      </c>
      <c r="P458">
        <f>IF(O458="","",IF(OR(G458="channeling",G458="infusing"),"Magical",IF(G458="blocking","Anti-Physical",IF(G458="warding","Anti-Magical","Physical"))))</f>
        <v/>
      </c>
    </row>
    <row r="459">
      <c r="J459">
        <f>IF(G459="","",IFERROR(IF(G459="infusing",IFERROR(LOOKUP(2,1/ISNUMBER(SEARCH(_lookup!$D$3:$D$4,H459)),_lookup!$E$3:$E$4),"INT"),VLOOKUP(G459,_lookup!$A$3:$B$14,2,FALSE)),""))</f>
        <v/>
      </c>
      <c r="K459">
        <f>IF(F459&lt;&gt;"weapon","",IF(G459="miscellaneous","1-4",IF(I459="","",IFERROR(VLOOKUP(I459&amp;"|"&amp;IF(LEFT(H459,2)="2H",2,1)&amp;"|"&amp;IF(G459="slashing",1,0),_lookup!$G$3:$H$18,2,FALSE),""))))</f>
        <v/>
      </c>
      <c r="L459">
        <f>IF(K459="","",IF(OR(G459="channeling",G459="infusing"),"Magical",IF(G459="blocking","Anti-Physical",IF(G459="warding","Anti-Magical","Physical"))))</f>
        <v/>
      </c>
      <c r="O459">
        <f>IF(F459&lt;&gt;"armor","","TBD")</f>
        <v/>
      </c>
      <c r="P459">
        <f>IF(O459="","",IF(OR(G459="channeling",G459="infusing"),"Magical",IF(G459="blocking","Anti-Physical",IF(G459="warding","Anti-Magical","Physical"))))</f>
        <v/>
      </c>
    </row>
    <row r="460">
      <c r="J460">
        <f>IF(G460="","",IFERROR(IF(G460="infusing",IFERROR(LOOKUP(2,1/ISNUMBER(SEARCH(_lookup!$D$3:$D$4,H460)),_lookup!$E$3:$E$4),"INT"),VLOOKUP(G460,_lookup!$A$3:$B$14,2,FALSE)),""))</f>
        <v/>
      </c>
      <c r="K460">
        <f>IF(F460&lt;&gt;"weapon","",IF(G460="miscellaneous","1-4",IF(I460="","",IFERROR(VLOOKUP(I460&amp;"|"&amp;IF(LEFT(H460,2)="2H",2,1)&amp;"|"&amp;IF(G460="slashing",1,0),_lookup!$G$3:$H$18,2,FALSE),""))))</f>
        <v/>
      </c>
      <c r="L460">
        <f>IF(K460="","",IF(OR(G460="channeling",G460="infusing"),"Magical",IF(G460="blocking","Anti-Physical",IF(G460="warding","Anti-Magical","Physical"))))</f>
        <v/>
      </c>
      <c r="O460">
        <f>IF(F460&lt;&gt;"armor","","TBD")</f>
        <v/>
      </c>
      <c r="P460">
        <f>IF(O460="","",IF(OR(G460="channeling",G460="infusing"),"Magical",IF(G460="blocking","Anti-Physical",IF(G460="warding","Anti-Magical","Physical"))))</f>
        <v/>
      </c>
    </row>
    <row r="461">
      <c r="J461">
        <f>IF(G461="","",IFERROR(IF(G461="infusing",IFERROR(LOOKUP(2,1/ISNUMBER(SEARCH(_lookup!$D$3:$D$4,H461)),_lookup!$E$3:$E$4),"INT"),VLOOKUP(G461,_lookup!$A$3:$B$14,2,FALSE)),""))</f>
        <v/>
      </c>
      <c r="K461">
        <f>IF(F461&lt;&gt;"weapon","",IF(G461="miscellaneous","1-4",IF(I461="","",IFERROR(VLOOKUP(I461&amp;"|"&amp;IF(LEFT(H461,2)="2H",2,1)&amp;"|"&amp;IF(G461="slashing",1,0),_lookup!$G$3:$H$18,2,FALSE),""))))</f>
        <v/>
      </c>
      <c r="L461">
        <f>IF(K461="","",IF(OR(G461="channeling",G461="infusing"),"Magical",IF(G461="blocking","Anti-Physical",IF(G461="warding","Anti-Magical","Physical"))))</f>
        <v/>
      </c>
      <c r="O461">
        <f>IF(F461&lt;&gt;"armor","","TBD")</f>
        <v/>
      </c>
      <c r="P461">
        <f>IF(O461="","",IF(OR(G461="channeling",G461="infusing"),"Magical",IF(G461="blocking","Anti-Physical",IF(G461="warding","Anti-Magical","Physical"))))</f>
        <v/>
      </c>
    </row>
    <row r="462">
      <c r="J462">
        <f>IF(G462="","",IFERROR(IF(G462="infusing",IFERROR(LOOKUP(2,1/ISNUMBER(SEARCH(_lookup!$D$3:$D$4,H462)),_lookup!$E$3:$E$4),"INT"),VLOOKUP(G462,_lookup!$A$3:$B$14,2,FALSE)),""))</f>
        <v/>
      </c>
      <c r="K462">
        <f>IF(F462&lt;&gt;"weapon","",IF(G462="miscellaneous","1-4",IF(I462="","",IFERROR(VLOOKUP(I462&amp;"|"&amp;IF(LEFT(H462,2)="2H",2,1)&amp;"|"&amp;IF(G462="slashing",1,0),_lookup!$G$3:$H$18,2,FALSE),""))))</f>
        <v/>
      </c>
      <c r="L462">
        <f>IF(K462="","",IF(OR(G462="channeling",G462="infusing"),"Magical",IF(G462="blocking","Anti-Physical",IF(G462="warding","Anti-Magical","Physical"))))</f>
        <v/>
      </c>
      <c r="O462">
        <f>IF(F462&lt;&gt;"armor","","TBD")</f>
        <v/>
      </c>
      <c r="P462">
        <f>IF(O462="","",IF(OR(G462="channeling",G462="infusing"),"Magical",IF(G462="blocking","Anti-Physical",IF(G462="warding","Anti-Magical","Physical"))))</f>
        <v/>
      </c>
    </row>
    <row r="463">
      <c r="J463">
        <f>IF(G463="","",IFERROR(IF(G463="infusing",IFERROR(LOOKUP(2,1/ISNUMBER(SEARCH(_lookup!$D$3:$D$4,H463)),_lookup!$E$3:$E$4),"INT"),VLOOKUP(G463,_lookup!$A$3:$B$14,2,FALSE)),""))</f>
        <v/>
      </c>
      <c r="K463">
        <f>IF(F463&lt;&gt;"weapon","",IF(G463="miscellaneous","1-4",IF(I463="","",IFERROR(VLOOKUP(I463&amp;"|"&amp;IF(LEFT(H463,2)="2H",2,1)&amp;"|"&amp;IF(G463="slashing",1,0),_lookup!$G$3:$H$18,2,FALSE),""))))</f>
        <v/>
      </c>
      <c r="L463">
        <f>IF(K463="","",IF(OR(G463="channeling",G463="infusing"),"Magical",IF(G463="blocking","Anti-Physical",IF(G463="warding","Anti-Magical","Physical"))))</f>
        <v/>
      </c>
      <c r="O463">
        <f>IF(F463&lt;&gt;"armor","","TBD")</f>
        <v/>
      </c>
      <c r="P463">
        <f>IF(O463="","",IF(OR(G463="channeling",G463="infusing"),"Magical",IF(G463="blocking","Anti-Physical",IF(G463="warding","Anti-Magical","Physical"))))</f>
        <v/>
      </c>
    </row>
    <row r="464">
      <c r="J464">
        <f>IF(G464="","",IFERROR(IF(G464="infusing",IFERROR(LOOKUP(2,1/ISNUMBER(SEARCH(_lookup!$D$3:$D$4,H464)),_lookup!$E$3:$E$4),"INT"),VLOOKUP(G464,_lookup!$A$3:$B$14,2,FALSE)),""))</f>
        <v/>
      </c>
      <c r="K464">
        <f>IF(F464&lt;&gt;"weapon","",IF(G464="miscellaneous","1-4",IF(I464="","",IFERROR(VLOOKUP(I464&amp;"|"&amp;IF(LEFT(H464,2)="2H",2,1)&amp;"|"&amp;IF(G464="slashing",1,0),_lookup!$G$3:$H$18,2,FALSE),""))))</f>
        <v/>
      </c>
      <c r="L464">
        <f>IF(K464="","",IF(OR(G464="channeling",G464="infusing"),"Magical",IF(G464="blocking","Anti-Physical",IF(G464="warding","Anti-Magical","Physical"))))</f>
        <v/>
      </c>
      <c r="O464">
        <f>IF(F464&lt;&gt;"armor","","TBD")</f>
        <v/>
      </c>
      <c r="P464">
        <f>IF(O464="","",IF(OR(G464="channeling",G464="infusing"),"Magical",IF(G464="blocking","Anti-Physical",IF(G464="warding","Anti-Magical","Physical"))))</f>
        <v/>
      </c>
    </row>
    <row r="465">
      <c r="J465">
        <f>IF(G465="","",IFERROR(IF(G465="infusing",IFERROR(LOOKUP(2,1/ISNUMBER(SEARCH(_lookup!$D$3:$D$4,H465)),_lookup!$E$3:$E$4),"INT"),VLOOKUP(G465,_lookup!$A$3:$B$14,2,FALSE)),""))</f>
        <v/>
      </c>
      <c r="K465">
        <f>IF(F465&lt;&gt;"weapon","",IF(G465="miscellaneous","1-4",IF(I465="","",IFERROR(VLOOKUP(I465&amp;"|"&amp;IF(LEFT(H465,2)="2H",2,1)&amp;"|"&amp;IF(G465="slashing",1,0),_lookup!$G$3:$H$18,2,FALSE),""))))</f>
        <v/>
      </c>
      <c r="L465">
        <f>IF(K465="","",IF(OR(G465="channeling",G465="infusing"),"Magical",IF(G465="blocking","Anti-Physical",IF(G465="warding","Anti-Magical","Physical"))))</f>
        <v/>
      </c>
      <c r="O465">
        <f>IF(F465&lt;&gt;"armor","","TBD")</f>
        <v/>
      </c>
      <c r="P465">
        <f>IF(O465="","",IF(OR(G465="channeling",G465="infusing"),"Magical",IF(G465="blocking","Anti-Physical",IF(G465="warding","Anti-Magical","Physical"))))</f>
        <v/>
      </c>
    </row>
    <row r="466">
      <c r="J466">
        <f>IF(G466="","",IFERROR(IF(G466="infusing",IFERROR(LOOKUP(2,1/ISNUMBER(SEARCH(_lookup!$D$3:$D$4,H466)),_lookup!$E$3:$E$4),"INT"),VLOOKUP(G466,_lookup!$A$3:$B$14,2,FALSE)),""))</f>
        <v/>
      </c>
      <c r="K466">
        <f>IF(F466&lt;&gt;"weapon","",IF(G466="miscellaneous","1-4",IF(I466="","",IFERROR(VLOOKUP(I466&amp;"|"&amp;IF(LEFT(H466,2)="2H",2,1)&amp;"|"&amp;IF(G466="slashing",1,0),_lookup!$G$3:$H$18,2,FALSE),""))))</f>
        <v/>
      </c>
      <c r="L466">
        <f>IF(K466="","",IF(OR(G466="channeling",G466="infusing"),"Magical",IF(G466="blocking","Anti-Physical",IF(G466="warding","Anti-Magical","Physical"))))</f>
        <v/>
      </c>
      <c r="O466">
        <f>IF(F466&lt;&gt;"armor","","TBD")</f>
        <v/>
      </c>
      <c r="P466">
        <f>IF(O466="","",IF(OR(G466="channeling",G466="infusing"),"Magical",IF(G466="blocking","Anti-Physical",IF(G466="warding","Anti-Magical","Physical"))))</f>
        <v/>
      </c>
    </row>
    <row r="467">
      <c r="J467">
        <f>IF(G467="","",IFERROR(IF(G467="infusing",IFERROR(LOOKUP(2,1/ISNUMBER(SEARCH(_lookup!$D$3:$D$4,H467)),_lookup!$E$3:$E$4),"INT"),VLOOKUP(G467,_lookup!$A$3:$B$14,2,FALSE)),""))</f>
        <v/>
      </c>
      <c r="K467">
        <f>IF(F467&lt;&gt;"weapon","",IF(G467="miscellaneous","1-4",IF(I467="","",IFERROR(VLOOKUP(I467&amp;"|"&amp;IF(LEFT(H467,2)="2H",2,1)&amp;"|"&amp;IF(G467="slashing",1,0),_lookup!$G$3:$H$18,2,FALSE),""))))</f>
        <v/>
      </c>
      <c r="L467">
        <f>IF(K467="","",IF(OR(G467="channeling",G467="infusing"),"Magical",IF(G467="blocking","Anti-Physical",IF(G467="warding","Anti-Magical","Physical"))))</f>
        <v/>
      </c>
      <c r="O467">
        <f>IF(F467&lt;&gt;"armor","","TBD")</f>
        <v/>
      </c>
      <c r="P467">
        <f>IF(O467="","",IF(OR(G467="channeling",G467="infusing"),"Magical",IF(G467="blocking","Anti-Physical",IF(G467="warding","Anti-Magical","Physical"))))</f>
        <v/>
      </c>
    </row>
    <row r="468">
      <c r="J468">
        <f>IF(G468="","",IFERROR(IF(G468="infusing",IFERROR(LOOKUP(2,1/ISNUMBER(SEARCH(_lookup!$D$3:$D$4,H468)),_lookup!$E$3:$E$4),"INT"),VLOOKUP(G468,_lookup!$A$3:$B$14,2,FALSE)),""))</f>
        <v/>
      </c>
      <c r="K468">
        <f>IF(F468&lt;&gt;"weapon","",IF(G468="miscellaneous","1-4",IF(I468="","",IFERROR(VLOOKUP(I468&amp;"|"&amp;IF(LEFT(H468,2)="2H",2,1)&amp;"|"&amp;IF(G468="slashing",1,0),_lookup!$G$3:$H$18,2,FALSE),""))))</f>
        <v/>
      </c>
      <c r="L468">
        <f>IF(K468="","",IF(OR(G468="channeling",G468="infusing"),"Magical",IF(G468="blocking","Anti-Physical",IF(G468="warding","Anti-Magical","Physical"))))</f>
        <v/>
      </c>
      <c r="O468">
        <f>IF(F468&lt;&gt;"armor","","TBD")</f>
        <v/>
      </c>
      <c r="P468">
        <f>IF(O468="","",IF(OR(G468="channeling",G468="infusing"),"Magical",IF(G468="blocking","Anti-Physical",IF(G468="warding","Anti-Magical","Physical"))))</f>
        <v/>
      </c>
    </row>
    <row r="469">
      <c r="J469">
        <f>IF(G469="","",IFERROR(IF(G469="infusing",IFERROR(LOOKUP(2,1/ISNUMBER(SEARCH(_lookup!$D$3:$D$4,H469)),_lookup!$E$3:$E$4),"INT"),VLOOKUP(G469,_lookup!$A$3:$B$14,2,FALSE)),""))</f>
        <v/>
      </c>
      <c r="K469">
        <f>IF(F469&lt;&gt;"weapon","",IF(G469="miscellaneous","1-4",IF(I469="","",IFERROR(VLOOKUP(I469&amp;"|"&amp;IF(LEFT(H469,2)="2H",2,1)&amp;"|"&amp;IF(G469="slashing",1,0),_lookup!$G$3:$H$18,2,FALSE),""))))</f>
        <v/>
      </c>
      <c r="L469">
        <f>IF(K469="","",IF(OR(G469="channeling",G469="infusing"),"Magical",IF(G469="blocking","Anti-Physical",IF(G469="warding","Anti-Magical","Physical"))))</f>
        <v/>
      </c>
      <c r="O469">
        <f>IF(F469&lt;&gt;"armor","","TBD")</f>
        <v/>
      </c>
      <c r="P469">
        <f>IF(O469="","",IF(OR(G469="channeling",G469="infusing"),"Magical",IF(G469="blocking","Anti-Physical",IF(G469="warding","Anti-Magical","Physical"))))</f>
        <v/>
      </c>
    </row>
    <row r="470">
      <c r="J470">
        <f>IF(G470="","",IFERROR(IF(G470="infusing",IFERROR(LOOKUP(2,1/ISNUMBER(SEARCH(_lookup!$D$3:$D$4,H470)),_lookup!$E$3:$E$4),"INT"),VLOOKUP(G470,_lookup!$A$3:$B$14,2,FALSE)),""))</f>
        <v/>
      </c>
      <c r="K470">
        <f>IF(F470&lt;&gt;"weapon","",IF(G470="miscellaneous","1-4",IF(I470="","",IFERROR(VLOOKUP(I470&amp;"|"&amp;IF(LEFT(H470,2)="2H",2,1)&amp;"|"&amp;IF(G470="slashing",1,0),_lookup!$G$3:$H$18,2,FALSE),""))))</f>
        <v/>
      </c>
      <c r="L470">
        <f>IF(K470="","",IF(OR(G470="channeling",G470="infusing"),"Magical",IF(G470="blocking","Anti-Physical",IF(G470="warding","Anti-Magical","Physical"))))</f>
        <v/>
      </c>
      <c r="O470">
        <f>IF(F470&lt;&gt;"armor","","TBD")</f>
        <v/>
      </c>
      <c r="P470">
        <f>IF(O470="","",IF(OR(G470="channeling",G470="infusing"),"Magical",IF(G470="blocking","Anti-Physical",IF(G470="warding","Anti-Magical","Physical"))))</f>
        <v/>
      </c>
    </row>
    <row r="471">
      <c r="J471">
        <f>IF(G471="","",IFERROR(IF(G471="infusing",IFERROR(LOOKUP(2,1/ISNUMBER(SEARCH(_lookup!$D$3:$D$4,H471)),_lookup!$E$3:$E$4),"INT"),VLOOKUP(G471,_lookup!$A$3:$B$14,2,FALSE)),""))</f>
        <v/>
      </c>
      <c r="K471">
        <f>IF(F471&lt;&gt;"weapon","",IF(G471="miscellaneous","1-4",IF(I471="","",IFERROR(VLOOKUP(I471&amp;"|"&amp;IF(LEFT(H471,2)="2H",2,1)&amp;"|"&amp;IF(G471="slashing",1,0),_lookup!$G$3:$H$18,2,FALSE),""))))</f>
        <v/>
      </c>
      <c r="L471">
        <f>IF(K471="","",IF(OR(G471="channeling",G471="infusing"),"Magical",IF(G471="blocking","Anti-Physical",IF(G471="warding","Anti-Magical","Physical"))))</f>
        <v/>
      </c>
      <c r="O471">
        <f>IF(F471&lt;&gt;"armor","","TBD")</f>
        <v/>
      </c>
      <c r="P471">
        <f>IF(O471="","",IF(OR(G471="channeling",G471="infusing"),"Magical",IF(G471="blocking","Anti-Physical",IF(G471="warding","Anti-Magical","Physical"))))</f>
        <v/>
      </c>
    </row>
    <row r="472">
      <c r="J472">
        <f>IF(G472="","",IFERROR(IF(G472="infusing",IFERROR(LOOKUP(2,1/ISNUMBER(SEARCH(_lookup!$D$3:$D$4,H472)),_lookup!$E$3:$E$4),"INT"),VLOOKUP(G472,_lookup!$A$3:$B$14,2,FALSE)),""))</f>
        <v/>
      </c>
      <c r="K472">
        <f>IF(F472&lt;&gt;"weapon","",IF(G472="miscellaneous","1-4",IF(I472="","",IFERROR(VLOOKUP(I472&amp;"|"&amp;IF(LEFT(H472,2)="2H",2,1)&amp;"|"&amp;IF(G472="slashing",1,0),_lookup!$G$3:$H$18,2,FALSE),""))))</f>
        <v/>
      </c>
      <c r="L472">
        <f>IF(K472="","",IF(OR(G472="channeling",G472="infusing"),"Magical",IF(G472="blocking","Anti-Physical",IF(G472="warding","Anti-Magical","Physical"))))</f>
        <v/>
      </c>
      <c r="O472">
        <f>IF(F472&lt;&gt;"armor","","TBD")</f>
        <v/>
      </c>
      <c r="P472">
        <f>IF(O472="","",IF(OR(G472="channeling",G472="infusing"),"Magical",IF(G472="blocking","Anti-Physical",IF(G472="warding","Anti-Magical","Physical"))))</f>
        <v/>
      </c>
    </row>
    <row r="473">
      <c r="J473">
        <f>IF(G473="","",IFERROR(IF(G473="infusing",IFERROR(LOOKUP(2,1/ISNUMBER(SEARCH(_lookup!$D$3:$D$4,H473)),_lookup!$E$3:$E$4),"INT"),VLOOKUP(G473,_lookup!$A$3:$B$14,2,FALSE)),""))</f>
        <v/>
      </c>
      <c r="K473">
        <f>IF(F473&lt;&gt;"weapon","",IF(G473="miscellaneous","1-4",IF(I473="","",IFERROR(VLOOKUP(I473&amp;"|"&amp;IF(LEFT(H473,2)="2H",2,1)&amp;"|"&amp;IF(G473="slashing",1,0),_lookup!$G$3:$H$18,2,FALSE),""))))</f>
        <v/>
      </c>
      <c r="L473">
        <f>IF(K473="","",IF(OR(G473="channeling",G473="infusing"),"Magical",IF(G473="blocking","Anti-Physical",IF(G473="warding","Anti-Magical","Physical"))))</f>
        <v/>
      </c>
      <c r="O473">
        <f>IF(F473&lt;&gt;"armor","","TBD")</f>
        <v/>
      </c>
      <c r="P473">
        <f>IF(O473="","",IF(OR(G473="channeling",G473="infusing"),"Magical",IF(G473="blocking","Anti-Physical",IF(G473="warding","Anti-Magical","Physical"))))</f>
        <v/>
      </c>
    </row>
    <row r="474">
      <c r="J474">
        <f>IF(G474="","",IFERROR(IF(G474="infusing",IFERROR(LOOKUP(2,1/ISNUMBER(SEARCH(_lookup!$D$3:$D$4,H474)),_lookup!$E$3:$E$4),"INT"),VLOOKUP(G474,_lookup!$A$3:$B$14,2,FALSE)),""))</f>
        <v/>
      </c>
      <c r="K474">
        <f>IF(F474&lt;&gt;"weapon","",IF(G474="miscellaneous","1-4",IF(I474="","",IFERROR(VLOOKUP(I474&amp;"|"&amp;IF(LEFT(H474,2)="2H",2,1)&amp;"|"&amp;IF(G474="slashing",1,0),_lookup!$G$3:$H$18,2,FALSE),""))))</f>
        <v/>
      </c>
      <c r="L474">
        <f>IF(K474="","",IF(OR(G474="channeling",G474="infusing"),"Magical",IF(G474="blocking","Anti-Physical",IF(G474="warding","Anti-Magical","Physical"))))</f>
        <v/>
      </c>
      <c r="O474">
        <f>IF(F474&lt;&gt;"armor","","TBD")</f>
        <v/>
      </c>
      <c r="P474">
        <f>IF(O474="","",IF(OR(G474="channeling",G474="infusing"),"Magical",IF(G474="blocking","Anti-Physical",IF(G474="warding","Anti-Magical","Physical"))))</f>
        <v/>
      </c>
    </row>
    <row r="475">
      <c r="J475">
        <f>IF(G475="","",IFERROR(IF(G475="infusing",IFERROR(LOOKUP(2,1/ISNUMBER(SEARCH(_lookup!$D$3:$D$4,H475)),_lookup!$E$3:$E$4),"INT"),VLOOKUP(G475,_lookup!$A$3:$B$14,2,FALSE)),""))</f>
        <v/>
      </c>
      <c r="K475">
        <f>IF(F475&lt;&gt;"weapon","",IF(G475="miscellaneous","1-4",IF(I475="","",IFERROR(VLOOKUP(I475&amp;"|"&amp;IF(LEFT(H475,2)="2H",2,1)&amp;"|"&amp;IF(G475="slashing",1,0),_lookup!$G$3:$H$18,2,FALSE),""))))</f>
        <v/>
      </c>
      <c r="L475">
        <f>IF(K475="","",IF(OR(G475="channeling",G475="infusing"),"Magical",IF(G475="blocking","Anti-Physical",IF(G475="warding","Anti-Magical","Physical"))))</f>
        <v/>
      </c>
      <c r="O475">
        <f>IF(F475&lt;&gt;"armor","","TBD")</f>
        <v/>
      </c>
      <c r="P475">
        <f>IF(O475="","",IF(OR(G475="channeling",G475="infusing"),"Magical",IF(G475="blocking","Anti-Physical",IF(G475="warding","Anti-Magical","Physical"))))</f>
        <v/>
      </c>
    </row>
    <row r="476">
      <c r="J476">
        <f>IF(G476="","",IFERROR(IF(G476="infusing",IFERROR(LOOKUP(2,1/ISNUMBER(SEARCH(_lookup!$D$3:$D$4,H476)),_lookup!$E$3:$E$4),"INT"),VLOOKUP(G476,_lookup!$A$3:$B$14,2,FALSE)),""))</f>
        <v/>
      </c>
      <c r="K476">
        <f>IF(F476&lt;&gt;"weapon","",IF(G476="miscellaneous","1-4",IF(I476="","",IFERROR(VLOOKUP(I476&amp;"|"&amp;IF(LEFT(H476,2)="2H",2,1)&amp;"|"&amp;IF(G476="slashing",1,0),_lookup!$G$3:$H$18,2,FALSE),""))))</f>
        <v/>
      </c>
      <c r="L476">
        <f>IF(K476="","",IF(OR(G476="channeling",G476="infusing"),"Magical",IF(G476="blocking","Anti-Physical",IF(G476="warding","Anti-Magical","Physical"))))</f>
        <v/>
      </c>
      <c r="O476">
        <f>IF(F476&lt;&gt;"armor","","TBD")</f>
        <v/>
      </c>
      <c r="P476">
        <f>IF(O476="","",IF(OR(G476="channeling",G476="infusing"),"Magical",IF(G476="blocking","Anti-Physical",IF(G476="warding","Anti-Magical","Physical"))))</f>
        <v/>
      </c>
    </row>
    <row r="477">
      <c r="J477">
        <f>IF(G477="","",IFERROR(IF(G477="infusing",IFERROR(LOOKUP(2,1/ISNUMBER(SEARCH(_lookup!$D$3:$D$4,H477)),_lookup!$E$3:$E$4),"INT"),VLOOKUP(G477,_lookup!$A$3:$B$14,2,FALSE)),""))</f>
        <v/>
      </c>
      <c r="K477">
        <f>IF(F477&lt;&gt;"weapon","",IF(G477="miscellaneous","1-4",IF(I477="","",IFERROR(VLOOKUP(I477&amp;"|"&amp;IF(LEFT(H477,2)="2H",2,1)&amp;"|"&amp;IF(G477="slashing",1,0),_lookup!$G$3:$H$18,2,FALSE),""))))</f>
        <v/>
      </c>
      <c r="L477">
        <f>IF(K477="","",IF(OR(G477="channeling",G477="infusing"),"Magical",IF(G477="blocking","Anti-Physical",IF(G477="warding","Anti-Magical","Physical"))))</f>
        <v/>
      </c>
      <c r="O477">
        <f>IF(F477&lt;&gt;"armor","","TBD")</f>
        <v/>
      </c>
      <c r="P477">
        <f>IF(O477="","",IF(OR(G477="channeling",G477="infusing"),"Magical",IF(G477="blocking","Anti-Physical",IF(G477="warding","Anti-Magical","Physical"))))</f>
        <v/>
      </c>
    </row>
    <row r="478">
      <c r="J478">
        <f>IF(G478="","",IFERROR(IF(G478="infusing",IFERROR(LOOKUP(2,1/ISNUMBER(SEARCH(_lookup!$D$3:$D$4,H478)),_lookup!$E$3:$E$4),"INT"),VLOOKUP(G478,_lookup!$A$3:$B$14,2,FALSE)),""))</f>
        <v/>
      </c>
      <c r="K478">
        <f>IF(F478&lt;&gt;"weapon","",IF(G478="miscellaneous","1-4",IF(I478="","",IFERROR(VLOOKUP(I478&amp;"|"&amp;IF(LEFT(H478,2)="2H",2,1)&amp;"|"&amp;IF(G478="slashing",1,0),_lookup!$G$3:$H$18,2,FALSE),""))))</f>
        <v/>
      </c>
      <c r="L478">
        <f>IF(K478="","",IF(OR(G478="channeling",G478="infusing"),"Magical",IF(G478="blocking","Anti-Physical",IF(G478="warding","Anti-Magical","Physical"))))</f>
        <v/>
      </c>
      <c r="O478">
        <f>IF(F478&lt;&gt;"armor","","TBD")</f>
        <v/>
      </c>
      <c r="P478">
        <f>IF(O478="","",IF(OR(G478="channeling",G478="infusing"),"Magical",IF(G478="blocking","Anti-Physical",IF(G478="warding","Anti-Magical","Physical"))))</f>
        <v/>
      </c>
    </row>
    <row r="479">
      <c r="J479">
        <f>IF(G479="","",IFERROR(IF(G479="infusing",IFERROR(LOOKUP(2,1/ISNUMBER(SEARCH(_lookup!$D$3:$D$4,H479)),_lookup!$E$3:$E$4),"INT"),VLOOKUP(G479,_lookup!$A$3:$B$14,2,FALSE)),""))</f>
        <v/>
      </c>
      <c r="K479">
        <f>IF(F479&lt;&gt;"weapon","",IF(G479="miscellaneous","1-4",IF(I479="","",IFERROR(VLOOKUP(I479&amp;"|"&amp;IF(LEFT(H479,2)="2H",2,1)&amp;"|"&amp;IF(G479="slashing",1,0),_lookup!$G$3:$H$18,2,FALSE),""))))</f>
        <v/>
      </c>
      <c r="L479">
        <f>IF(K479="","",IF(OR(G479="channeling",G479="infusing"),"Magical",IF(G479="blocking","Anti-Physical",IF(G479="warding","Anti-Magical","Physical"))))</f>
        <v/>
      </c>
      <c r="O479">
        <f>IF(F479&lt;&gt;"armor","","TBD")</f>
        <v/>
      </c>
      <c r="P479">
        <f>IF(O479="","",IF(OR(G479="channeling",G479="infusing"),"Magical",IF(G479="blocking","Anti-Physical",IF(G479="warding","Anti-Magical","Physical"))))</f>
        <v/>
      </c>
    </row>
    <row r="480">
      <c r="J480">
        <f>IF(G480="","",IFERROR(IF(G480="infusing",IFERROR(LOOKUP(2,1/ISNUMBER(SEARCH(_lookup!$D$3:$D$4,H480)),_lookup!$E$3:$E$4),"INT"),VLOOKUP(G480,_lookup!$A$3:$B$14,2,FALSE)),""))</f>
        <v/>
      </c>
      <c r="K480">
        <f>IF(F480&lt;&gt;"weapon","",IF(G480="miscellaneous","1-4",IF(I480="","",IFERROR(VLOOKUP(I480&amp;"|"&amp;IF(LEFT(H480,2)="2H",2,1)&amp;"|"&amp;IF(G480="slashing",1,0),_lookup!$G$3:$H$18,2,FALSE),""))))</f>
        <v/>
      </c>
      <c r="L480">
        <f>IF(K480="","",IF(OR(G480="channeling",G480="infusing"),"Magical",IF(G480="blocking","Anti-Physical",IF(G480="warding","Anti-Magical","Physical"))))</f>
        <v/>
      </c>
      <c r="O480">
        <f>IF(F480&lt;&gt;"armor","","TBD")</f>
        <v/>
      </c>
      <c r="P480">
        <f>IF(O480="","",IF(OR(G480="channeling",G480="infusing"),"Magical",IF(G480="blocking","Anti-Physical",IF(G480="warding","Anti-Magical","Physical"))))</f>
        <v/>
      </c>
    </row>
    <row r="481">
      <c r="J481">
        <f>IF(G481="","",IFERROR(IF(G481="infusing",IFERROR(LOOKUP(2,1/ISNUMBER(SEARCH(_lookup!$D$3:$D$4,H481)),_lookup!$E$3:$E$4),"INT"),VLOOKUP(G481,_lookup!$A$3:$B$14,2,FALSE)),""))</f>
        <v/>
      </c>
      <c r="K481">
        <f>IF(F481&lt;&gt;"weapon","",IF(G481="miscellaneous","1-4",IF(I481="","",IFERROR(VLOOKUP(I481&amp;"|"&amp;IF(LEFT(H481,2)="2H",2,1)&amp;"|"&amp;IF(G481="slashing",1,0),_lookup!$G$3:$H$18,2,FALSE),""))))</f>
        <v/>
      </c>
      <c r="L481">
        <f>IF(K481="","",IF(OR(G481="channeling",G481="infusing"),"Magical",IF(G481="blocking","Anti-Physical",IF(G481="warding","Anti-Magical","Physical"))))</f>
        <v/>
      </c>
      <c r="O481">
        <f>IF(F481&lt;&gt;"armor","","TBD")</f>
        <v/>
      </c>
      <c r="P481">
        <f>IF(O481="","",IF(OR(G481="channeling",G481="infusing"),"Magical",IF(G481="blocking","Anti-Physical",IF(G481="warding","Anti-Magical","Physical"))))</f>
        <v/>
      </c>
    </row>
    <row r="482">
      <c r="J482">
        <f>IF(G482="","",IFERROR(IF(G482="infusing",IFERROR(LOOKUP(2,1/ISNUMBER(SEARCH(_lookup!$D$3:$D$4,H482)),_lookup!$E$3:$E$4),"INT"),VLOOKUP(G482,_lookup!$A$3:$B$14,2,FALSE)),""))</f>
        <v/>
      </c>
      <c r="K482">
        <f>IF(F482&lt;&gt;"weapon","",IF(G482="miscellaneous","1-4",IF(I482="","",IFERROR(VLOOKUP(I482&amp;"|"&amp;IF(LEFT(H482,2)="2H",2,1)&amp;"|"&amp;IF(G482="slashing",1,0),_lookup!$G$3:$H$18,2,FALSE),""))))</f>
        <v/>
      </c>
      <c r="L482">
        <f>IF(K482="","",IF(OR(G482="channeling",G482="infusing"),"Magical",IF(G482="blocking","Anti-Physical",IF(G482="warding","Anti-Magical","Physical"))))</f>
        <v/>
      </c>
      <c r="O482">
        <f>IF(F482&lt;&gt;"armor","","TBD")</f>
        <v/>
      </c>
      <c r="P482">
        <f>IF(O482="","",IF(OR(G482="channeling",G482="infusing"),"Magical",IF(G482="blocking","Anti-Physical",IF(G482="warding","Anti-Magical","Physical"))))</f>
        <v/>
      </c>
    </row>
    <row r="483">
      <c r="J483">
        <f>IF(G483="","",IFERROR(IF(G483="infusing",IFERROR(LOOKUP(2,1/ISNUMBER(SEARCH(_lookup!$D$3:$D$4,H483)),_lookup!$E$3:$E$4),"INT"),VLOOKUP(G483,_lookup!$A$3:$B$14,2,FALSE)),""))</f>
        <v/>
      </c>
      <c r="K483">
        <f>IF(F483&lt;&gt;"weapon","",IF(G483="miscellaneous","1-4",IF(I483="","",IFERROR(VLOOKUP(I483&amp;"|"&amp;IF(LEFT(H483,2)="2H",2,1)&amp;"|"&amp;IF(G483="slashing",1,0),_lookup!$G$3:$H$18,2,FALSE),""))))</f>
        <v/>
      </c>
      <c r="L483">
        <f>IF(K483="","",IF(OR(G483="channeling",G483="infusing"),"Magical",IF(G483="blocking","Anti-Physical",IF(G483="warding","Anti-Magical","Physical"))))</f>
        <v/>
      </c>
      <c r="O483">
        <f>IF(F483&lt;&gt;"armor","","TBD")</f>
        <v/>
      </c>
      <c r="P483">
        <f>IF(O483="","",IF(OR(G483="channeling",G483="infusing"),"Magical",IF(G483="blocking","Anti-Physical",IF(G483="warding","Anti-Magical","Physical"))))</f>
        <v/>
      </c>
    </row>
    <row r="484">
      <c r="J484">
        <f>IF(G484="","",IFERROR(IF(G484="infusing",IFERROR(LOOKUP(2,1/ISNUMBER(SEARCH(_lookup!$D$3:$D$4,H484)),_lookup!$E$3:$E$4),"INT"),VLOOKUP(G484,_lookup!$A$3:$B$14,2,FALSE)),""))</f>
        <v/>
      </c>
      <c r="K484">
        <f>IF(F484&lt;&gt;"weapon","",IF(G484="miscellaneous","1-4",IF(I484="","",IFERROR(VLOOKUP(I484&amp;"|"&amp;IF(LEFT(H484,2)="2H",2,1)&amp;"|"&amp;IF(G484="slashing",1,0),_lookup!$G$3:$H$18,2,FALSE),""))))</f>
        <v/>
      </c>
      <c r="L484">
        <f>IF(K484="","",IF(OR(G484="channeling",G484="infusing"),"Magical",IF(G484="blocking","Anti-Physical",IF(G484="warding","Anti-Magical","Physical"))))</f>
        <v/>
      </c>
      <c r="O484">
        <f>IF(F484&lt;&gt;"armor","","TBD")</f>
        <v/>
      </c>
      <c r="P484">
        <f>IF(O484="","",IF(OR(G484="channeling",G484="infusing"),"Magical",IF(G484="blocking","Anti-Physical",IF(G484="warding","Anti-Magical","Physical"))))</f>
        <v/>
      </c>
    </row>
    <row r="485">
      <c r="J485">
        <f>IF(G485="","",IFERROR(IF(G485="infusing",IFERROR(LOOKUP(2,1/ISNUMBER(SEARCH(_lookup!$D$3:$D$4,H485)),_lookup!$E$3:$E$4),"INT"),VLOOKUP(G485,_lookup!$A$3:$B$14,2,FALSE)),""))</f>
        <v/>
      </c>
      <c r="K485">
        <f>IF(F485&lt;&gt;"weapon","",IF(G485="miscellaneous","1-4",IF(I485="","",IFERROR(VLOOKUP(I485&amp;"|"&amp;IF(LEFT(H485,2)="2H",2,1)&amp;"|"&amp;IF(G485="slashing",1,0),_lookup!$G$3:$H$18,2,FALSE),""))))</f>
        <v/>
      </c>
      <c r="L485">
        <f>IF(K485="","",IF(OR(G485="channeling",G485="infusing"),"Magical",IF(G485="blocking","Anti-Physical",IF(G485="warding","Anti-Magical","Physical"))))</f>
        <v/>
      </c>
      <c r="O485">
        <f>IF(F485&lt;&gt;"armor","","TBD")</f>
        <v/>
      </c>
      <c r="P485">
        <f>IF(O485="","",IF(OR(G485="channeling",G485="infusing"),"Magical",IF(G485="blocking","Anti-Physical",IF(G485="warding","Anti-Magical","Physical"))))</f>
        <v/>
      </c>
    </row>
    <row r="486">
      <c r="J486">
        <f>IF(G486="","",IFERROR(IF(G486="infusing",IFERROR(LOOKUP(2,1/ISNUMBER(SEARCH(_lookup!$D$3:$D$4,H486)),_lookup!$E$3:$E$4),"INT"),VLOOKUP(G486,_lookup!$A$3:$B$14,2,FALSE)),""))</f>
        <v/>
      </c>
      <c r="K486">
        <f>IF(F486&lt;&gt;"weapon","",IF(G486="miscellaneous","1-4",IF(I486="","",IFERROR(VLOOKUP(I486&amp;"|"&amp;IF(LEFT(H486,2)="2H",2,1)&amp;"|"&amp;IF(G486="slashing",1,0),_lookup!$G$3:$H$18,2,FALSE),""))))</f>
        <v/>
      </c>
      <c r="L486">
        <f>IF(K486="","",IF(OR(G486="channeling",G486="infusing"),"Magical",IF(G486="blocking","Anti-Physical",IF(G486="warding","Anti-Magical","Physical"))))</f>
        <v/>
      </c>
      <c r="O486">
        <f>IF(F486&lt;&gt;"armor","","TBD")</f>
        <v/>
      </c>
      <c r="P486">
        <f>IF(O486="","",IF(OR(G486="channeling",G486="infusing"),"Magical",IF(G486="blocking","Anti-Physical",IF(G486="warding","Anti-Magical","Physical"))))</f>
        <v/>
      </c>
    </row>
    <row r="487">
      <c r="J487">
        <f>IF(G487="","",IFERROR(IF(G487="infusing",IFERROR(LOOKUP(2,1/ISNUMBER(SEARCH(_lookup!$D$3:$D$4,H487)),_lookup!$E$3:$E$4),"INT"),VLOOKUP(G487,_lookup!$A$3:$B$14,2,FALSE)),""))</f>
        <v/>
      </c>
      <c r="K487">
        <f>IF(F487&lt;&gt;"weapon","",IF(G487="miscellaneous","1-4",IF(I487="","",IFERROR(VLOOKUP(I487&amp;"|"&amp;IF(LEFT(H487,2)="2H",2,1)&amp;"|"&amp;IF(G487="slashing",1,0),_lookup!$G$3:$H$18,2,FALSE),""))))</f>
        <v/>
      </c>
      <c r="L487">
        <f>IF(K487="","",IF(OR(G487="channeling",G487="infusing"),"Magical",IF(G487="blocking","Anti-Physical",IF(G487="warding","Anti-Magical","Physical"))))</f>
        <v/>
      </c>
      <c r="O487">
        <f>IF(F487&lt;&gt;"armor","","TBD")</f>
        <v/>
      </c>
      <c r="P487">
        <f>IF(O487="","",IF(OR(G487="channeling",G487="infusing"),"Magical",IF(G487="blocking","Anti-Physical",IF(G487="warding","Anti-Magical","Physical"))))</f>
        <v/>
      </c>
    </row>
    <row r="488">
      <c r="J488">
        <f>IF(G488="","",IFERROR(IF(G488="infusing",IFERROR(LOOKUP(2,1/ISNUMBER(SEARCH(_lookup!$D$3:$D$4,H488)),_lookup!$E$3:$E$4),"INT"),VLOOKUP(G488,_lookup!$A$3:$B$14,2,FALSE)),""))</f>
        <v/>
      </c>
      <c r="K488">
        <f>IF(F488&lt;&gt;"weapon","",IF(G488="miscellaneous","1-4",IF(I488="","",IFERROR(VLOOKUP(I488&amp;"|"&amp;IF(LEFT(H488,2)="2H",2,1)&amp;"|"&amp;IF(G488="slashing",1,0),_lookup!$G$3:$H$18,2,FALSE),""))))</f>
        <v/>
      </c>
      <c r="L488">
        <f>IF(K488="","",IF(OR(G488="channeling",G488="infusing"),"Magical",IF(G488="blocking","Anti-Physical",IF(G488="warding","Anti-Magical","Physical"))))</f>
        <v/>
      </c>
      <c r="O488">
        <f>IF(F488&lt;&gt;"armor","","TBD")</f>
        <v/>
      </c>
      <c r="P488">
        <f>IF(O488="","",IF(OR(G488="channeling",G488="infusing"),"Magical",IF(G488="blocking","Anti-Physical",IF(G488="warding","Anti-Magical","Physical"))))</f>
        <v/>
      </c>
    </row>
    <row r="489">
      <c r="J489">
        <f>IF(G489="","",IFERROR(IF(G489="infusing",IFERROR(LOOKUP(2,1/ISNUMBER(SEARCH(_lookup!$D$3:$D$4,H489)),_lookup!$E$3:$E$4),"INT"),VLOOKUP(G489,_lookup!$A$3:$B$14,2,FALSE)),""))</f>
        <v/>
      </c>
      <c r="K489">
        <f>IF(F489&lt;&gt;"weapon","",IF(G489="miscellaneous","1-4",IF(I489="","",IFERROR(VLOOKUP(I489&amp;"|"&amp;IF(LEFT(H489,2)="2H",2,1)&amp;"|"&amp;IF(G489="slashing",1,0),_lookup!$G$3:$H$18,2,FALSE),""))))</f>
        <v/>
      </c>
      <c r="L489">
        <f>IF(K489="","",IF(OR(G489="channeling",G489="infusing"),"Magical",IF(G489="blocking","Anti-Physical",IF(G489="warding","Anti-Magical","Physical"))))</f>
        <v/>
      </c>
      <c r="O489">
        <f>IF(F489&lt;&gt;"armor","","TBD")</f>
        <v/>
      </c>
      <c r="P489">
        <f>IF(O489="","",IF(OR(G489="channeling",G489="infusing"),"Magical",IF(G489="blocking","Anti-Physical",IF(G489="warding","Anti-Magical","Physical"))))</f>
        <v/>
      </c>
    </row>
    <row r="490">
      <c r="J490">
        <f>IF(G490="","",IFERROR(IF(G490="infusing",IFERROR(LOOKUP(2,1/ISNUMBER(SEARCH(_lookup!$D$3:$D$4,H490)),_lookup!$E$3:$E$4),"INT"),VLOOKUP(G490,_lookup!$A$3:$B$14,2,FALSE)),""))</f>
        <v/>
      </c>
      <c r="K490">
        <f>IF(F490&lt;&gt;"weapon","",IF(G490="miscellaneous","1-4",IF(I490="","",IFERROR(VLOOKUP(I490&amp;"|"&amp;IF(LEFT(H490,2)="2H",2,1)&amp;"|"&amp;IF(G490="slashing",1,0),_lookup!$G$3:$H$18,2,FALSE),""))))</f>
        <v/>
      </c>
      <c r="L490">
        <f>IF(K490="","",IF(OR(G490="channeling",G490="infusing"),"Magical",IF(G490="blocking","Anti-Physical",IF(G490="warding","Anti-Magical","Physical"))))</f>
        <v/>
      </c>
      <c r="O490">
        <f>IF(F490&lt;&gt;"armor","","TBD")</f>
        <v/>
      </c>
      <c r="P490">
        <f>IF(O490="","",IF(OR(G490="channeling",G490="infusing"),"Magical",IF(G490="blocking","Anti-Physical",IF(G490="warding","Anti-Magical","Physical"))))</f>
        <v/>
      </c>
    </row>
    <row r="491">
      <c r="J491">
        <f>IF(G491="","",IFERROR(IF(G491="infusing",IFERROR(LOOKUP(2,1/ISNUMBER(SEARCH(_lookup!$D$3:$D$4,H491)),_lookup!$E$3:$E$4),"INT"),VLOOKUP(G491,_lookup!$A$3:$B$14,2,FALSE)),""))</f>
        <v/>
      </c>
      <c r="K491">
        <f>IF(F491&lt;&gt;"weapon","",IF(G491="miscellaneous","1-4",IF(I491="","",IFERROR(VLOOKUP(I491&amp;"|"&amp;IF(LEFT(H491,2)="2H",2,1)&amp;"|"&amp;IF(G491="slashing",1,0),_lookup!$G$3:$H$18,2,FALSE),""))))</f>
        <v/>
      </c>
      <c r="L491">
        <f>IF(K491="","",IF(OR(G491="channeling",G491="infusing"),"Magical",IF(G491="blocking","Anti-Physical",IF(G491="warding","Anti-Magical","Physical"))))</f>
        <v/>
      </c>
      <c r="O491">
        <f>IF(F491&lt;&gt;"armor","","TBD")</f>
        <v/>
      </c>
      <c r="P491">
        <f>IF(O491="","",IF(OR(G491="channeling",G491="infusing"),"Magical",IF(G491="blocking","Anti-Physical",IF(G491="warding","Anti-Magical","Physical"))))</f>
        <v/>
      </c>
    </row>
    <row r="492">
      <c r="J492">
        <f>IF(G492="","",IFERROR(IF(G492="infusing",IFERROR(LOOKUP(2,1/ISNUMBER(SEARCH(_lookup!$D$3:$D$4,H492)),_lookup!$E$3:$E$4),"INT"),VLOOKUP(G492,_lookup!$A$3:$B$14,2,FALSE)),""))</f>
        <v/>
      </c>
      <c r="K492">
        <f>IF(F492&lt;&gt;"weapon","",IF(G492="miscellaneous","1-4",IF(I492="","",IFERROR(VLOOKUP(I492&amp;"|"&amp;IF(LEFT(H492,2)="2H",2,1)&amp;"|"&amp;IF(G492="slashing",1,0),_lookup!$G$3:$H$18,2,FALSE),""))))</f>
        <v/>
      </c>
      <c r="L492">
        <f>IF(K492="","",IF(OR(G492="channeling",G492="infusing"),"Magical",IF(G492="blocking","Anti-Physical",IF(G492="warding","Anti-Magical","Physical"))))</f>
        <v/>
      </c>
      <c r="O492">
        <f>IF(F492&lt;&gt;"armor","","TBD")</f>
        <v/>
      </c>
      <c r="P492">
        <f>IF(O492="","",IF(OR(G492="channeling",G492="infusing"),"Magical",IF(G492="blocking","Anti-Physical",IF(G492="warding","Anti-Magical","Physical"))))</f>
        <v/>
      </c>
    </row>
    <row r="493">
      <c r="J493">
        <f>IF(G493="","",IFERROR(IF(G493="infusing",IFERROR(LOOKUP(2,1/ISNUMBER(SEARCH(_lookup!$D$3:$D$4,H493)),_lookup!$E$3:$E$4),"INT"),VLOOKUP(G493,_lookup!$A$3:$B$14,2,FALSE)),""))</f>
        <v/>
      </c>
      <c r="K493">
        <f>IF(F493&lt;&gt;"weapon","",IF(G493="miscellaneous","1-4",IF(I493="","",IFERROR(VLOOKUP(I493&amp;"|"&amp;IF(LEFT(H493,2)="2H",2,1)&amp;"|"&amp;IF(G493="slashing",1,0),_lookup!$G$3:$H$18,2,FALSE),""))))</f>
        <v/>
      </c>
      <c r="L493">
        <f>IF(K493="","",IF(OR(G493="channeling",G493="infusing"),"Magical",IF(G493="blocking","Anti-Physical",IF(G493="warding","Anti-Magical","Physical"))))</f>
        <v/>
      </c>
      <c r="O493">
        <f>IF(F493&lt;&gt;"armor","","TBD")</f>
        <v/>
      </c>
      <c r="P493">
        <f>IF(O493="","",IF(OR(G493="channeling",G493="infusing"),"Magical",IF(G493="blocking","Anti-Physical",IF(G493="warding","Anti-Magical","Physical"))))</f>
        <v/>
      </c>
    </row>
    <row r="494">
      <c r="J494">
        <f>IF(G494="","",IFERROR(IF(G494="infusing",IFERROR(LOOKUP(2,1/ISNUMBER(SEARCH(_lookup!$D$3:$D$4,H494)),_lookup!$E$3:$E$4),"INT"),VLOOKUP(G494,_lookup!$A$3:$B$14,2,FALSE)),""))</f>
        <v/>
      </c>
      <c r="K494">
        <f>IF(F494&lt;&gt;"weapon","",IF(G494="miscellaneous","1-4",IF(I494="","",IFERROR(VLOOKUP(I494&amp;"|"&amp;IF(LEFT(H494,2)="2H",2,1)&amp;"|"&amp;IF(G494="slashing",1,0),_lookup!$G$3:$H$18,2,FALSE),""))))</f>
        <v/>
      </c>
      <c r="L494">
        <f>IF(K494="","",IF(OR(G494="channeling",G494="infusing"),"Magical",IF(G494="blocking","Anti-Physical",IF(G494="warding","Anti-Magical","Physical"))))</f>
        <v/>
      </c>
      <c r="O494">
        <f>IF(F494&lt;&gt;"armor","","TBD")</f>
        <v/>
      </c>
      <c r="P494">
        <f>IF(O494="","",IF(OR(G494="channeling",G494="infusing"),"Magical",IF(G494="blocking","Anti-Physical",IF(G494="warding","Anti-Magical","Physical"))))</f>
        <v/>
      </c>
    </row>
    <row r="495">
      <c r="J495">
        <f>IF(G495="","",IFERROR(IF(G495="infusing",IFERROR(LOOKUP(2,1/ISNUMBER(SEARCH(_lookup!$D$3:$D$4,H495)),_lookup!$E$3:$E$4),"INT"),VLOOKUP(G495,_lookup!$A$3:$B$14,2,FALSE)),""))</f>
        <v/>
      </c>
      <c r="K495">
        <f>IF(F495&lt;&gt;"weapon","",IF(G495="miscellaneous","1-4",IF(I495="","",IFERROR(VLOOKUP(I495&amp;"|"&amp;IF(LEFT(H495,2)="2H",2,1)&amp;"|"&amp;IF(G495="slashing",1,0),_lookup!$G$3:$H$18,2,FALSE),""))))</f>
        <v/>
      </c>
      <c r="L495">
        <f>IF(K495="","",IF(OR(G495="channeling",G495="infusing"),"Magical",IF(G495="blocking","Anti-Physical",IF(G495="warding","Anti-Magical","Physical"))))</f>
        <v/>
      </c>
      <c r="O495">
        <f>IF(F495&lt;&gt;"armor","","TBD")</f>
        <v/>
      </c>
      <c r="P495">
        <f>IF(O495="","",IF(OR(G495="channeling",G495="infusing"),"Magical",IF(G495="blocking","Anti-Physical",IF(G495="warding","Anti-Magical","Physical"))))</f>
        <v/>
      </c>
    </row>
    <row r="496">
      <c r="J496">
        <f>IF(G496="","",IFERROR(IF(G496="infusing",IFERROR(LOOKUP(2,1/ISNUMBER(SEARCH(_lookup!$D$3:$D$4,H496)),_lookup!$E$3:$E$4),"INT"),VLOOKUP(G496,_lookup!$A$3:$B$14,2,FALSE)),""))</f>
        <v/>
      </c>
      <c r="K496">
        <f>IF(F496&lt;&gt;"weapon","",IF(G496="miscellaneous","1-4",IF(I496="","",IFERROR(VLOOKUP(I496&amp;"|"&amp;IF(LEFT(H496,2)="2H",2,1)&amp;"|"&amp;IF(G496="slashing",1,0),_lookup!$G$3:$H$18,2,FALSE),""))))</f>
        <v/>
      </c>
      <c r="L496">
        <f>IF(K496="","",IF(OR(G496="channeling",G496="infusing"),"Magical",IF(G496="blocking","Anti-Physical",IF(G496="warding","Anti-Magical","Physical"))))</f>
        <v/>
      </c>
      <c r="O496">
        <f>IF(F496&lt;&gt;"armor","","TBD")</f>
        <v/>
      </c>
      <c r="P496">
        <f>IF(O496="","",IF(OR(G496="channeling",G496="infusing"),"Magical",IF(G496="blocking","Anti-Physical",IF(G496="warding","Anti-Magical","Physical"))))</f>
        <v/>
      </c>
    </row>
    <row r="497">
      <c r="J497">
        <f>IF(G497="","",IFERROR(IF(G497="infusing",IFERROR(LOOKUP(2,1/ISNUMBER(SEARCH(_lookup!$D$3:$D$4,H497)),_lookup!$E$3:$E$4),"INT"),VLOOKUP(G497,_lookup!$A$3:$B$14,2,FALSE)),""))</f>
        <v/>
      </c>
      <c r="K497">
        <f>IF(F497&lt;&gt;"weapon","",IF(G497="miscellaneous","1-4",IF(I497="","",IFERROR(VLOOKUP(I497&amp;"|"&amp;IF(LEFT(H497,2)="2H",2,1)&amp;"|"&amp;IF(G497="slashing",1,0),_lookup!$G$3:$H$18,2,FALSE),""))))</f>
        <v/>
      </c>
      <c r="L497">
        <f>IF(K497="","",IF(OR(G497="channeling",G497="infusing"),"Magical",IF(G497="blocking","Anti-Physical",IF(G497="warding","Anti-Magical","Physical"))))</f>
        <v/>
      </c>
      <c r="O497">
        <f>IF(F497&lt;&gt;"armor","","TBD")</f>
        <v/>
      </c>
      <c r="P497">
        <f>IF(O497="","",IF(OR(G497="channeling",G497="infusing"),"Magical",IF(G497="blocking","Anti-Physical",IF(G497="warding","Anti-Magical","Physical"))))</f>
        <v/>
      </c>
    </row>
    <row r="498">
      <c r="J498">
        <f>IF(G498="","",IFERROR(IF(G498="infusing",IFERROR(LOOKUP(2,1/ISNUMBER(SEARCH(_lookup!$D$3:$D$4,H498)),_lookup!$E$3:$E$4),"INT"),VLOOKUP(G498,_lookup!$A$3:$B$14,2,FALSE)),""))</f>
        <v/>
      </c>
      <c r="K498">
        <f>IF(F498&lt;&gt;"weapon","",IF(G498="miscellaneous","1-4",IF(I498="","",IFERROR(VLOOKUP(I498&amp;"|"&amp;IF(LEFT(H498,2)="2H",2,1)&amp;"|"&amp;IF(G498="slashing",1,0),_lookup!$G$3:$H$18,2,FALSE),""))))</f>
        <v/>
      </c>
      <c r="L498">
        <f>IF(K498="","",IF(OR(G498="channeling",G498="infusing"),"Magical",IF(G498="blocking","Anti-Physical",IF(G498="warding","Anti-Magical","Physical"))))</f>
        <v/>
      </c>
      <c r="O498">
        <f>IF(F498&lt;&gt;"armor","","TBD")</f>
        <v/>
      </c>
      <c r="P498">
        <f>IF(O498="","",IF(OR(G498="channeling",G498="infusing"),"Magical",IF(G498="blocking","Anti-Physical",IF(G498="warding","Anti-Magical","Physical"))))</f>
        <v/>
      </c>
    </row>
    <row r="499">
      <c r="J499">
        <f>IF(G499="","",IFERROR(IF(G499="infusing",IFERROR(LOOKUP(2,1/ISNUMBER(SEARCH(_lookup!$D$3:$D$4,H499)),_lookup!$E$3:$E$4),"INT"),VLOOKUP(G499,_lookup!$A$3:$B$14,2,FALSE)),""))</f>
        <v/>
      </c>
      <c r="K499">
        <f>IF(F499&lt;&gt;"weapon","",IF(G499="miscellaneous","1-4",IF(I499="","",IFERROR(VLOOKUP(I499&amp;"|"&amp;IF(LEFT(H499,2)="2H",2,1)&amp;"|"&amp;IF(G499="slashing",1,0),_lookup!$G$3:$H$18,2,FALSE),""))))</f>
        <v/>
      </c>
      <c r="L499">
        <f>IF(K499="","",IF(OR(G499="channeling",G499="infusing"),"Magical",IF(G499="blocking","Anti-Physical",IF(G499="warding","Anti-Magical","Physical"))))</f>
        <v/>
      </c>
      <c r="O499">
        <f>IF(F499&lt;&gt;"armor","","TBD")</f>
        <v/>
      </c>
      <c r="P499">
        <f>IF(O499="","",IF(OR(G499="channeling",G499="infusing"),"Magical",IF(G499="blocking","Anti-Physical",IF(G499="warding","Anti-Magical","Physical"))))</f>
        <v/>
      </c>
    </row>
    <row r="500">
      <c r="J500">
        <f>IF(G500="","",IFERROR(IF(G500="infusing",IFERROR(LOOKUP(2,1/ISNUMBER(SEARCH(_lookup!$D$3:$D$4,H500)),_lookup!$E$3:$E$4),"INT"),VLOOKUP(G500,_lookup!$A$3:$B$14,2,FALSE)),""))</f>
        <v/>
      </c>
      <c r="K500">
        <f>IF(F500&lt;&gt;"weapon","",IF(G500="miscellaneous","1-4",IF(I500="","",IFERROR(VLOOKUP(I500&amp;"|"&amp;IF(LEFT(H500,2)="2H",2,1)&amp;"|"&amp;IF(G500="slashing",1,0),_lookup!$G$3:$H$18,2,FALSE),""))))</f>
        <v/>
      </c>
      <c r="L500">
        <f>IF(K500="","",IF(OR(G500="channeling",G500="infusing"),"Magical",IF(G500="blocking","Anti-Physical",IF(G500="warding","Anti-Magical","Physical"))))</f>
        <v/>
      </c>
      <c r="O500">
        <f>IF(F500&lt;&gt;"armor","","TBD")</f>
        <v/>
      </c>
      <c r="P500">
        <f>IF(O500="","",IF(OR(G500="channeling",G500="infusing"),"Magical",IF(G500="blocking","Anti-Physical",IF(G500="warding","Anti-Magical","Physical"))))</f>
        <v/>
      </c>
    </row>
  </sheetData>
  <dataValidations count="2">
    <dataValidation sqref="G2:G500" showDropDown="0" showInputMessage="0" showErrorMessage="0" allowBlank="1" type="list">
      <formula1>INDIRECT(SUBSTITUTE($F2," ","_"))</formula1>
    </dataValidation>
    <dataValidation sqref="H2:H500" showDropDown="0" showInputMessage="0" showErrorMessage="0" allowBlank="1" type="list">
      <formula1>INDIRECT(SUBSTITUTE($G2," ","_"))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C11" sqref="C11"/>
    </sheetView>
  </sheetViews>
  <sheetFormatPr baseColWidth="8" defaultRowHeight="15"/>
  <cols>
    <col width="5.140625" customWidth="1" min="1" max="1"/>
    <col width="20" customWidth="1" min="2" max="2"/>
    <col width="18" customWidth="1" min="3" max="11"/>
  </cols>
  <sheetData>
    <row r="1">
      <c r="A1" s="13" t="inlineStr">
        <is>
          <t>item_id</t>
        </is>
      </c>
      <c r="B1" s="13" t="inlineStr">
        <is>
          <t>name</t>
        </is>
      </c>
      <c r="C1" s="13" t="inlineStr">
        <is>
          <t>spawn1</t>
        </is>
      </c>
      <c r="D1" s="13" t="inlineStr">
        <is>
          <t>spawn2</t>
        </is>
      </c>
      <c r="E1" s="13" t="inlineStr">
        <is>
          <t>spawn3</t>
        </is>
      </c>
      <c r="F1" s="13" t="inlineStr">
        <is>
          <t>spawn4</t>
        </is>
      </c>
      <c r="G1" s="13" t="inlineStr">
        <is>
          <t>spawn5</t>
        </is>
      </c>
      <c r="H1" s="14" t="inlineStr">
        <is>
          <t>gold_adjust</t>
        </is>
      </c>
      <c r="I1" s="16" t="inlineStr">
        <is>
          <t>spawngold</t>
        </is>
      </c>
      <c r="J1" s="13" t="inlineStr">
        <is>
          <t>spawnstatus1</t>
        </is>
      </c>
      <c r="K1" s="13" t="inlineStr">
        <is>
          <t>spawnstatus2</t>
        </is>
      </c>
      <c r="L1" s="13" t="inlineStr">
        <is>
          <t>spawnstatus3</t>
        </is>
      </c>
    </row>
    <row r="2">
      <c r="A2" t="inlineStr">
        <is>
          <t>IT23</t>
        </is>
      </c>
      <c r="B2" t="inlineStr">
        <is>
          <t>Ribbon Clam</t>
        </is>
      </c>
      <c r="C2" t="inlineStr">
        <is>
          <t>Clam Meat</t>
        </is>
      </c>
      <c r="D2" t="inlineStr">
        <is>
          <t xml:space="preserve">Lustrous Pearl|Iridescent Pearl| | | </t>
        </is>
      </c>
      <c r="H2" t="n">
        <v>0</v>
      </c>
    </row>
    <row r="3">
      <c r="A3" t="inlineStr">
        <is>
          <t>IT24</t>
        </is>
      </c>
      <c r="B3" t="inlineStr">
        <is>
          <t>Deepwater Clam</t>
        </is>
      </c>
      <c r="C3" t="inlineStr">
        <is>
          <t>Clam Meat</t>
        </is>
      </c>
      <c r="D3" t="inlineStr">
        <is>
          <t xml:space="preserve">Golden Pearl|Black Pearl| | | </t>
        </is>
      </c>
      <c r="H3" t="n">
        <v>0</v>
      </c>
    </row>
    <row r="4">
      <c r="A4" t="inlineStr">
        <is>
          <t>IT35</t>
        </is>
      </c>
      <c r="B4" t="inlineStr">
        <is>
          <t>Crab Trap</t>
        </is>
      </c>
      <c r="C4" t="inlineStr">
        <is>
          <t xml:space="preserve">Spiral Snail|Pink Prawn|Red Lobster|River Crab| | | </t>
        </is>
      </c>
      <c r="H4" t="n">
        <v>0</v>
      </c>
    </row>
    <row r="5">
      <c r="A5" t="inlineStr">
        <is>
          <t>IT30</t>
        </is>
      </c>
      <c r="B5" t="inlineStr">
        <is>
          <t>Waterlogged Letter</t>
        </is>
      </c>
      <c r="H5" t="n">
        <v>1</v>
      </c>
      <c r="I5" t="inlineStr">
        <is>
          <t>3-6</t>
        </is>
      </c>
    </row>
    <row r="6">
      <c r="A6" t="inlineStr">
        <is>
          <t>IT31</t>
        </is>
      </c>
      <c r="B6" t="inlineStr">
        <is>
          <t>Sunken Satchel</t>
        </is>
      </c>
      <c r="H6" t="n">
        <v>1</v>
      </c>
      <c r="I6" t="inlineStr">
        <is>
          <t>11-18</t>
        </is>
      </c>
    </row>
    <row r="7">
      <c r="A7" t="inlineStr">
        <is>
          <t>IT32</t>
        </is>
      </c>
      <c r="B7" t="inlineStr">
        <is>
          <t>Banded Crate</t>
        </is>
      </c>
      <c r="H7" t="n">
        <v>1</v>
      </c>
      <c r="I7" t="inlineStr">
        <is>
          <t>33-56</t>
        </is>
      </c>
    </row>
    <row r="8">
      <c r="A8" t="inlineStr">
        <is>
          <t>IT33</t>
        </is>
      </c>
      <c r="B8" t="inlineStr">
        <is>
          <t>Riverbed Chest</t>
        </is>
      </c>
      <c r="H8" t="n">
        <v>1</v>
      </c>
      <c r="I8" t="inlineStr">
        <is>
          <t>63-106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C11" sqref="C11"/>
    </sheetView>
  </sheetViews>
  <sheetFormatPr baseColWidth="8" defaultRowHeight="15"/>
  <cols>
    <col width="14" customWidth="1" min="1" max="6"/>
    <col width="17" customWidth="1" min="7" max="7"/>
    <col width="14" customWidth="1" min="8" max="11"/>
    <col width="17" customWidth="1" min="12" max="12"/>
    <col width="15" customWidth="1" min="13" max="13"/>
    <col width="16" customWidth="1" min="14" max="14"/>
    <col width="14" customWidth="1" min="15" max="15"/>
    <col width="16" customWidth="1" min="16" max="16"/>
    <col width="14" customWidth="1" min="17" max="23"/>
    <col width="18" customWidth="1" min="24" max="24"/>
    <col width="14" customWidth="1" min="25" max="25"/>
    <col width="16" customWidth="1" min="26" max="26"/>
  </cols>
  <sheetData>
    <row r="1">
      <c r="A1" s="1" t="inlineStr">
        <is>
          <t>Allowed values. Add a row to extend a list -- the dropdowns and sync_items_data.py both read these columns.</t>
        </is>
      </c>
    </row>
    <row r="2">
      <c r="A2" s="2" t="inlineStr">
        <is>
          <t>tts_type</t>
        </is>
      </c>
      <c r="B2" s="2" t="inlineStr">
        <is>
          <t>type</t>
        </is>
      </c>
      <c r="C2" s="2" t="inlineStr">
        <is>
          <t>tier</t>
        </is>
      </c>
      <c r="D2" s="3" t="inlineStr">
        <is>
          <t>subtype</t>
        </is>
      </c>
      <c r="E2" s="3" t="inlineStr">
        <is>
          <t>sub_weapon</t>
        </is>
      </c>
      <c r="F2" s="3" t="inlineStr">
        <is>
          <t>sub_armor</t>
        </is>
      </c>
      <c r="G2" s="3" t="inlineStr">
        <is>
          <t>sub_consumable</t>
        </is>
      </c>
      <c r="H2" s="3" t="inlineStr">
        <is>
          <t>sub_goods</t>
        </is>
      </c>
      <c r="I2" s="4" t="inlineStr">
        <is>
          <t>subsubtype</t>
        </is>
      </c>
      <c r="J2" s="4" t="inlineStr">
        <is>
          <t>ss_hacking</t>
        </is>
      </c>
      <c r="K2" s="4" t="inlineStr">
        <is>
          <t>ss_slashing</t>
        </is>
      </c>
      <c r="L2" s="4" t="inlineStr">
        <is>
          <t>ss_bludgeoning</t>
        </is>
      </c>
      <c r="M2" s="4" t="inlineStr">
        <is>
          <t>ss_thrusting</t>
        </is>
      </c>
      <c r="N2" s="4" t="inlineStr">
        <is>
          <t>ss_projectile</t>
        </is>
      </c>
      <c r="O2" s="4" t="inlineStr">
        <is>
          <t>ss_blocking</t>
        </is>
      </c>
      <c r="P2" s="4" t="inlineStr">
        <is>
          <t>ss_channeling</t>
        </is>
      </c>
      <c r="Q2" s="4" t="inlineStr">
        <is>
          <t>ss_warding</t>
        </is>
      </c>
      <c r="R2" s="4" t="inlineStr">
        <is>
          <t>ss_infusing</t>
        </is>
      </c>
      <c r="S2" s="4" t="inlineStr">
        <is>
          <t>ss_material</t>
        </is>
      </c>
      <c r="T2" s="4" t="inlineStr">
        <is>
          <t>ss_heavy</t>
        </is>
      </c>
      <c r="U2" s="4" t="inlineStr">
        <is>
          <t>ss_medium</t>
        </is>
      </c>
      <c r="V2" s="4" t="inlineStr">
        <is>
          <t>ss_light</t>
        </is>
      </c>
      <c r="W2" s="4" t="inlineStr">
        <is>
          <t>ss_trinket</t>
        </is>
      </c>
      <c r="X2" s="6" t="inlineStr">
        <is>
          <t>ss_miscellaneous</t>
        </is>
      </c>
      <c r="Y2" s="8" t="inlineStr">
        <is>
          <t>sub_skill</t>
        </is>
      </c>
      <c r="Z2" s="9" t="inlineStr">
        <is>
          <t>ss_profession</t>
        </is>
      </c>
    </row>
    <row r="3">
      <c r="A3" t="inlineStr">
        <is>
          <t>tile</t>
        </is>
      </c>
      <c r="B3" t="inlineStr">
        <is>
          <t>weapon</t>
        </is>
      </c>
      <c r="C3" t="inlineStr">
        <is>
          <t>0</t>
        </is>
      </c>
      <c r="D3" t="inlineStr">
        <is>
          <t>hacking</t>
        </is>
      </c>
      <c r="E3" t="inlineStr">
        <is>
          <t>hacking</t>
        </is>
      </c>
      <c r="F3" t="inlineStr">
        <is>
          <t>heavy</t>
        </is>
      </c>
      <c r="G3" t="inlineStr">
        <is>
          <t>food</t>
        </is>
      </c>
      <c r="H3" t="inlineStr">
        <is>
          <t>treasure</t>
        </is>
      </c>
      <c r="I3" t="inlineStr">
        <is>
          <t>1H Shield</t>
        </is>
      </c>
      <c r="J3" t="inlineStr">
        <is>
          <t>1H Axe</t>
        </is>
      </c>
      <c r="K3" t="inlineStr">
        <is>
          <t>1H Sword</t>
        </is>
      </c>
      <c r="L3" t="inlineStr">
        <is>
          <t>1H Mace</t>
        </is>
      </c>
      <c r="M3" t="inlineStr">
        <is>
          <t>1H Dagger</t>
        </is>
      </c>
      <c r="N3" t="inlineStr">
        <is>
          <t>1H Crossbow</t>
        </is>
      </c>
      <c r="O3" t="inlineStr">
        <is>
          <t>1H Shield</t>
        </is>
      </c>
      <c r="P3" t="inlineStr">
        <is>
          <t>1H Wand</t>
        </is>
      </c>
      <c r="Q3" t="inlineStr">
        <is>
          <t>1H Scroll</t>
        </is>
      </c>
      <c r="R3" t="inlineStr">
        <is>
          <t>1H Lightning Mote</t>
        </is>
      </c>
      <c r="S3" t="inlineStr">
        <is>
          <t>ore</t>
        </is>
      </c>
      <c r="T3" t="inlineStr">
        <is>
          <t>head</t>
        </is>
      </c>
      <c r="U3" t="inlineStr">
        <is>
          <t>head</t>
        </is>
      </c>
      <c r="V3" t="inlineStr">
        <is>
          <t>head</t>
        </is>
      </c>
      <c r="W3" t="inlineStr">
        <is>
          <t>finger</t>
        </is>
      </c>
      <c r="X3" t="inlineStr">
        <is>
          <t>1H</t>
        </is>
      </c>
      <c r="Y3" t="inlineStr">
        <is>
          <t>profession</t>
        </is>
      </c>
      <c r="Z3" t="inlineStr">
        <is>
          <t>gathering</t>
        </is>
      </c>
    </row>
    <row r="4">
      <c r="A4" t="inlineStr">
        <is>
          <t>token</t>
        </is>
      </c>
      <c r="B4" t="inlineStr">
        <is>
          <t>armor</t>
        </is>
      </c>
      <c r="C4" t="inlineStr">
        <is>
          <t>1</t>
        </is>
      </c>
      <c r="D4" t="inlineStr">
        <is>
          <t>slashing</t>
        </is>
      </c>
      <c r="E4" t="inlineStr">
        <is>
          <t>slashing</t>
        </is>
      </c>
      <c r="F4" t="inlineStr">
        <is>
          <t>medium</t>
        </is>
      </c>
      <c r="G4" t="inlineStr">
        <is>
          <t>drink</t>
        </is>
      </c>
      <c r="H4" t="inlineStr">
        <is>
          <t>quest</t>
        </is>
      </c>
      <c r="I4" t="inlineStr">
        <is>
          <t>2H Dueling Shield</t>
        </is>
      </c>
      <c r="J4" t="inlineStr">
        <is>
          <t>2H Greataxe</t>
        </is>
      </c>
      <c r="K4" t="inlineStr">
        <is>
          <t>2H Greatsword</t>
        </is>
      </c>
      <c r="L4" t="inlineStr">
        <is>
          <t>2H Greatmace</t>
        </is>
      </c>
      <c r="M4" t="inlineStr">
        <is>
          <t>2H Spear</t>
        </is>
      </c>
      <c r="N4" t="inlineStr">
        <is>
          <t>2H Bow</t>
        </is>
      </c>
      <c r="O4" t="inlineStr">
        <is>
          <t>2H Dueling Shield</t>
        </is>
      </c>
      <c r="P4" t="inlineStr">
        <is>
          <t>2H Staff</t>
        </is>
      </c>
      <c r="Q4" t="inlineStr">
        <is>
          <t>2H Tome</t>
        </is>
      </c>
      <c r="R4" t="inlineStr">
        <is>
          <t>1H Fire Mote</t>
        </is>
      </c>
      <c r="S4" t="inlineStr">
        <is>
          <t>gem</t>
        </is>
      </c>
      <c r="T4" t="inlineStr">
        <is>
          <t>body</t>
        </is>
      </c>
      <c r="U4" t="inlineStr">
        <is>
          <t>body</t>
        </is>
      </c>
      <c r="V4" t="inlineStr">
        <is>
          <t>body</t>
        </is>
      </c>
      <c r="W4" t="inlineStr">
        <is>
          <t>neck</t>
        </is>
      </c>
      <c r="X4" t="inlineStr">
        <is>
          <t>2H</t>
        </is>
      </c>
      <c r="Y4" t="inlineStr">
        <is>
          <t>general</t>
        </is>
      </c>
      <c r="Z4" t="inlineStr">
        <is>
          <t>crafting</t>
        </is>
      </c>
    </row>
    <row r="5">
      <c r="B5" t="inlineStr">
        <is>
          <t>consumable</t>
        </is>
      </c>
      <c r="C5" t="inlineStr">
        <is>
          <t>2</t>
        </is>
      </c>
      <c r="D5" t="inlineStr">
        <is>
          <t>bludgeoning</t>
        </is>
      </c>
      <c r="E5" t="inlineStr">
        <is>
          <t>bludgeoning</t>
        </is>
      </c>
      <c r="F5" t="inlineStr">
        <is>
          <t>light</t>
        </is>
      </c>
      <c r="G5" t="inlineStr">
        <is>
          <t>potion</t>
        </is>
      </c>
      <c r="H5" t="inlineStr">
        <is>
          <t>junk</t>
        </is>
      </c>
      <c r="I5" t="inlineStr">
        <is>
          <t>1H Mace</t>
        </is>
      </c>
      <c r="R5" t="inlineStr">
        <is>
          <t>1H Shadow Mote</t>
        </is>
      </c>
      <c r="S5" t="inlineStr">
        <is>
          <t>fiber</t>
        </is>
      </c>
      <c r="T5" t="inlineStr">
        <is>
          <t>gloves</t>
        </is>
      </c>
      <c r="U5" t="inlineStr">
        <is>
          <t>gloves</t>
        </is>
      </c>
      <c r="V5" t="inlineStr">
        <is>
          <t>gloves</t>
        </is>
      </c>
      <c r="W5" t="inlineStr">
        <is>
          <t>belt</t>
        </is>
      </c>
      <c r="X5" t="inlineStr">
        <is>
          <t>head</t>
        </is>
      </c>
    </row>
    <row r="6">
      <c r="B6" t="inlineStr">
        <is>
          <t>goods</t>
        </is>
      </c>
      <c r="C6" t="inlineStr">
        <is>
          <t>3</t>
        </is>
      </c>
      <c r="D6" t="inlineStr">
        <is>
          <t>thrusting</t>
        </is>
      </c>
      <c r="E6" t="inlineStr">
        <is>
          <t>thrusting</t>
        </is>
      </c>
      <c r="F6" t="inlineStr">
        <is>
          <t>trinket</t>
        </is>
      </c>
      <c r="G6" t="inlineStr">
        <is>
          <t>bandage</t>
        </is>
      </c>
      <c r="H6" t="inlineStr">
        <is>
          <t>material</t>
        </is>
      </c>
      <c r="I6" t="inlineStr">
        <is>
          <t>2H Greatmace</t>
        </is>
      </c>
      <c r="R6" t="inlineStr">
        <is>
          <t>1H Frost Mote</t>
        </is>
      </c>
      <c r="S6" t="inlineStr">
        <is>
          <t>seed</t>
        </is>
      </c>
      <c r="T6" t="inlineStr">
        <is>
          <t>boots</t>
        </is>
      </c>
      <c r="U6" t="inlineStr">
        <is>
          <t>boots</t>
        </is>
      </c>
      <c r="V6" t="inlineStr">
        <is>
          <t>boots</t>
        </is>
      </c>
      <c r="W6" t="inlineStr">
        <is>
          <t>back</t>
        </is>
      </c>
      <c r="X6" t="inlineStr">
        <is>
          <t>hands</t>
        </is>
      </c>
    </row>
    <row r="7">
      <c r="B7" t="inlineStr">
        <is>
          <t>skill</t>
        </is>
      </c>
      <c r="D7" t="inlineStr">
        <is>
          <t>projectile</t>
        </is>
      </c>
      <c r="E7" t="inlineStr">
        <is>
          <t>projectile</t>
        </is>
      </c>
      <c r="F7" t="inlineStr">
        <is>
          <t>miscellaneous</t>
        </is>
      </c>
      <c r="G7" t="inlineStr">
        <is>
          <t>repair kit</t>
        </is>
      </c>
      <c r="H7" t="inlineStr">
        <is>
          <t>miscellaneous</t>
        </is>
      </c>
      <c r="I7" t="inlineStr">
        <is>
          <t>1H Wand</t>
        </is>
      </c>
      <c r="R7" t="inlineStr">
        <is>
          <t>2H Lightning Heart</t>
        </is>
      </c>
      <c r="S7" t="inlineStr">
        <is>
          <t>herb</t>
        </is>
      </c>
    </row>
    <row r="8">
      <c r="D8" t="inlineStr">
        <is>
          <t>blocking</t>
        </is>
      </c>
      <c r="E8" t="inlineStr">
        <is>
          <t>blocking</t>
        </is>
      </c>
      <c r="G8" t="inlineStr">
        <is>
          <t>rune</t>
        </is>
      </c>
      <c r="H8" t="inlineStr">
        <is>
          <t>contraband</t>
        </is>
      </c>
      <c r="I8" t="inlineStr">
        <is>
          <t>2H Staff</t>
        </is>
      </c>
      <c r="R8" t="inlineStr">
        <is>
          <t>2H Fire Heart</t>
        </is>
      </c>
      <c r="S8" t="inlineStr">
        <is>
          <t>wood</t>
        </is>
      </c>
    </row>
    <row r="9">
      <c r="D9" t="inlineStr">
        <is>
          <t>channeling</t>
        </is>
      </c>
      <c r="E9" t="inlineStr">
        <is>
          <t>channeling</t>
        </is>
      </c>
      <c r="G9" t="inlineStr">
        <is>
          <t>augment</t>
        </is>
      </c>
      <c r="I9" t="inlineStr">
        <is>
          <t>1H Axe</t>
        </is>
      </c>
      <c r="R9" t="inlineStr">
        <is>
          <t>2H Shadow Heart</t>
        </is>
      </c>
      <c r="S9" t="inlineStr">
        <is>
          <t>leather</t>
        </is>
      </c>
    </row>
    <row r="10">
      <c r="D10" t="inlineStr">
        <is>
          <t>warding</t>
        </is>
      </c>
      <c r="E10" t="inlineStr">
        <is>
          <t>warding</t>
        </is>
      </c>
      <c r="G10" t="inlineStr">
        <is>
          <t>lootbox</t>
        </is>
      </c>
      <c r="I10" t="inlineStr">
        <is>
          <t>2H Greataxe</t>
        </is>
      </c>
      <c r="R10" t="inlineStr">
        <is>
          <t>2H Frost Heart</t>
        </is>
      </c>
      <c r="S10" t="inlineStr">
        <is>
          <t>wrap</t>
        </is>
      </c>
    </row>
    <row r="11">
      <c r="D11" t="inlineStr">
        <is>
          <t>infusing</t>
        </is>
      </c>
      <c r="E11" t="inlineStr">
        <is>
          <t>infusing</t>
        </is>
      </c>
      <c r="I11" t="inlineStr">
        <is>
          <t>head</t>
        </is>
      </c>
      <c r="S11" t="inlineStr">
        <is>
          <t>meat</t>
        </is>
      </c>
    </row>
    <row r="12">
      <c r="D12" t="inlineStr">
        <is>
          <t>heavy</t>
        </is>
      </c>
      <c r="E12" t="inlineStr">
        <is>
          <t>miscellaneous</t>
        </is>
      </c>
      <c r="I12" t="inlineStr">
        <is>
          <t>body</t>
        </is>
      </c>
      <c r="S12" t="inlineStr">
        <is>
          <t>fish</t>
        </is>
      </c>
    </row>
    <row r="13">
      <c r="D13" t="inlineStr">
        <is>
          <t>medium</t>
        </is>
      </c>
      <c r="I13" t="inlineStr">
        <is>
          <t>gloves</t>
        </is>
      </c>
      <c r="S13" t="inlineStr">
        <is>
          <t>stone</t>
        </is>
      </c>
    </row>
    <row r="14">
      <c r="D14" t="inlineStr">
        <is>
          <t>light</t>
        </is>
      </c>
      <c r="I14" t="inlineStr">
        <is>
          <t>boots</t>
        </is>
      </c>
      <c r="S14" t="inlineStr">
        <is>
          <t>chitin</t>
        </is>
      </c>
    </row>
    <row r="15">
      <c r="D15" t="inlineStr">
        <is>
          <t>food</t>
        </is>
      </c>
      <c r="I15" t="inlineStr">
        <is>
          <t>1H Lightning Mote</t>
        </is>
      </c>
      <c r="S15" t="inlineStr">
        <is>
          <t>hide</t>
        </is>
      </c>
    </row>
    <row r="16">
      <c r="D16" t="inlineStr">
        <is>
          <t>drink</t>
        </is>
      </c>
      <c r="I16" t="inlineStr">
        <is>
          <t>1H Fire Mote</t>
        </is>
      </c>
      <c r="S16" t="inlineStr">
        <is>
          <t>mushroom</t>
        </is>
      </c>
    </row>
    <row r="17">
      <c r="D17" t="inlineStr">
        <is>
          <t>potion</t>
        </is>
      </c>
      <c r="I17" t="inlineStr">
        <is>
          <t>1H Shadow Mote</t>
        </is>
      </c>
      <c r="S17" t="inlineStr">
        <is>
          <t>sap</t>
        </is>
      </c>
    </row>
    <row r="18">
      <c r="D18" t="inlineStr">
        <is>
          <t>bandage</t>
        </is>
      </c>
      <c r="I18" t="inlineStr">
        <is>
          <t>1H Frost Mote</t>
        </is>
      </c>
    </row>
    <row r="19">
      <c r="D19" t="inlineStr">
        <is>
          <t>repair kit</t>
        </is>
      </c>
      <c r="I19" t="inlineStr">
        <is>
          <t>2H Lightning Heart</t>
        </is>
      </c>
    </row>
    <row r="20">
      <c r="D20" t="inlineStr">
        <is>
          <t>rune</t>
        </is>
      </c>
      <c r="I20" t="inlineStr">
        <is>
          <t>2H Fire Heart</t>
        </is>
      </c>
    </row>
    <row r="21">
      <c r="D21" t="inlineStr">
        <is>
          <t>augment</t>
        </is>
      </c>
      <c r="I21" t="inlineStr">
        <is>
          <t>2H Shadow Heart</t>
        </is>
      </c>
    </row>
    <row r="22">
      <c r="D22" t="inlineStr">
        <is>
          <t>treasure</t>
        </is>
      </c>
      <c r="I22" t="inlineStr">
        <is>
          <t>2H Frost Heart</t>
        </is>
      </c>
    </row>
    <row r="23">
      <c r="D23" t="inlineStr">
        <is>
          <t>quest</t>
        </is>
      </c>
      <c r="I23" t="inlineStr">
        <is>
          <t>ore</t>
        </is>
      </c>
    </row>
    <row r="24">
      <c r="D24" t="inlineStr">
        <is>
          <t>junk</t>
        </is>
      </c>
      <c r="I24" t="inlineStr">
        <is>
          <t>gem</t>
        </is>
      </c>
    </row>
    <row r="25">
      <c r="D25" t="inlineStr">
        <is>
          <t>material</t>
        </is>
      </c>
      <c r="I25" t="inlineStr">
        <is>
          <t>fiber</t>
        </is>
      </c>
    </row>
    <row r="26">
      <c r="D26" t="inlineStr">
        <is>
          <t>trinket</t>
        </is>
      </c>
      <c r="I26" t="inlineStr">
        <is>
          <t>seed</t>
        </is>
      </c>
    </row>
    <row r="27">
      <c r="D27" t="inlineStr">
        <is>
          <t>miscellaneous</t>
        </is>
      </c>
      <c r="I27" t="inlineStr">
        <is>
          <t>herb</t>
        </is>
      </c>
    </row>
    <row r="28">
      <c r="D28" t="inlineStr">
        <is>
          <t>lootbox</t>
        </is>
      </c>
      <c r="I28" t="inlineStr">
        <is>
          <t>wood</t>
        </is>
      </c>
    </row>
    <row r="29">
      <c r="D29" t="inlineStr">
        <is>
          <t>profession</t>
        </is>
      </c>
      <c r="I29" t="inlineStr">
        <is>
          <t>leather</t>
        </is>
      </c>
    </row>
    <row r="30">
      <c r="D30" t="inlineStr">
        <is>
          <t>general</t>
        </is>
      </c>
      <c r="I30" t="inlineStr">
        <is>
          <t>wrap</t>
        </is>
      </c>
    </row>
    <row r="31">
      <c r="D31" t="inlineStr">
        <is>
          <t>contraband</t>
        </is>
      </c>
      <c r="I31" t="inlineStr">
        <is>
          <t>meat</t>
        </is>
      </c>
    </row>
    <row r="32">
      <c r="I32" t="inlineStr">
        <is>
          <t>fish</t>
        </is>
      </c>
    </row>
    <row r="33">
      <c r="I33" t="inlineStr">
        <is>
          <t>stone</t>
        </is>
      </c>
    </row>
    <row r="34">
      <c r="I34" t="inlineStr">
        <is>
          <t>1H Crossbow</t>
        </is>
      </c>
    </row>
    <row r="35">
      <c r="I35" t="inlineStr">
        <is>
          <t>2H Bow</t>
        </is>
      </c>
    </row>
    <row r="36">
      <c r="I36" t="inlineStr">
        <is>
          <t>1H Sword</t>
        </is>
      </c>
    </row>
    <row r="37">
      <c r="I37" t="inlineStr">
        <is>
          <t>2H Greatsword</t>
        </is>
      </c>
    </row>
    <row r="38">
      <c r="I38" t="inlineStr">
        <is>
          <t>1H Dagger</t>
        </is>
      </c>
    </row>
    <row r="39">
      <c r="I39" t="inlineStr">
        <is>
          <t>2H Spear</t>
        </is>
      </c>
    </row>
    <row r="40">
      <c r="I40" t="inlineStr">
        <is>
          <t>finger</t>
        </is>
      </c>
    </row>
    <row r="41">
      <c r="I41" t="inlineStr">
        <is>
          <t>neck</t>
        </is>
      </c>
    </row>
    <row r="42">
      <c r="I42" t="inlineStr">
        <is>
          <t>belt</t>
        </is>
      </c>
    </row>
    <row r="43">
      <c r="I43" t="inlineStr">
        <is>
          <t>back</t>
        </is>
      </c>
    </row>
    <row r="44">
      <c r="I44" t="inlineStr">
        <is>
          <t>1H Scroll</t>
        </is>
      </c>
    </row>
    <row r="45">
      <c r="I45" t="inlineStr">
        <is>
          <t>2H Tome</t>
        </is>
      </c>
    </row>
    <row r="46">
      <c r="I46" t="inlineStr">
        <is>
          <t>1H</t>
        </is>
      </c>
    </row>
    <row r="47">
      <c r="I47" t="inlineStr">
        <is>
          <t>2H</t>
        </is>
      </c>
    </row>
    <row r="48">
      <c r="I48" t="inlineStr">
        <is>
          <t>hands</t>
        </is>
      </c>
    </row>
    <row r="49">
      <c r="I49" t="inlineStr">
        <is>
          <t>gathering</t>
        </is>
      </c>
    </row>
    <row r="50">
      <c r="I50" t="inlineStr">
        <is>
          <t>crafting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E20" sqref="E20"/>
    </sheetView>
  </sheetViews>
  <sheetFormatPr baseColWidth="8" defaultRowHeight="15"/>
  <cols>
    <col width="20" customWidth="1" min="1" max="2"/>
    <col width="20" customWidth="1" min="4" max="5"/>
    <col width="20" customWidth="1" min="7" max="8"/>
  </cols>
  <sheetData>
    <row r="1">
      <c r="A1" s="1" t="inlineStr">
        <is>
          <t>Tables the items-sheet formulas read. Generated -- change the rules in tools/build_items_xlsx.py, not here.</t>
        </is>
      </c>
    </row>
    <row r="2">
      <c r="A2" s="5" t="inlineStr">
        <is>
          <t>subtype</t>
        </is>
      </c>
      <c r="B2" s="5" t="inlineStr">
        <is>
          <t>stat</t>
        </is>
      </c>
      <c r="D2" s="5" t="inlineStr">
        <is>
          <t>element</t>
        </is>
      </c>
      <c r="E2" s="5" t="inlineStr">
        <is>
          <t>stat</t>
        </is>
      </c>
      <c r="G2" s="5" t="inlineStr">
        <is>
          <t>tier|hands|slashing</t>
        </is>
      </c>
      <c r="H2" s="5" t="inlineStr">
        <is>
          <t>range</t>
        </is>
      </c>
    </row>
    <row r="3">
      <c r="A3" t="inlineStr">
        <is>
          <t>hacking</t>
        </is>
      </c>
      <c r="B3" t="inlineStr">
        <is>
          <t>STR</t>
        </is>
      </c>
      <c r="D3" t="inlineStr">
        <is>
          <t>Shadow</t>
        </is>
      </c>
      <c r="E3" t="inlineStr">
        <is>
          <t>INT or AGI</t>
        </is>
      </c>
      <c r="G3" t="inlineStr">
        <is>
          <t>0|1|0</t>
        </is>
      </c>
      <c r="H3" t="inlineStr">
        <is>
          <t>1-6</t>
        </is>
      </c>
    </row>
    <row r="4">
      <c r="A4" t="inlineStr">
        <is>
          <t>bludgeoning</t>
        </is>
      </c>
      <c r="B4" t="inlineStr">
        <is>
          <t>STR</t>
        </is>
      </c>
      <c r="D4" t="inlineStr">
        <is>
          <t>Frost</t>
        </is>
      </c>
      <c r="E4" t="inlineStr">
        <is>
          <t>INT or STA</t>
        </is>
      </c>
      <c r="G4" t="inlineStr">
        <is>
          <t>0|1|1</t>
        </is>
      </c>
      <c r="H4" t="inlineStr">
        <is>
          <t>1-5</t>
        </is>
      </c>
    </row>
    <row r="5">
      <c r="A5" t="inlineStr">
        <is>
          <t>slashing</t>
        </is>
      </c>
      <c r="B5" t="inlineStr">
        <is>
          <t>STR or STA</t>
        </is>
      </c>
      <c r="G5" t="inlineStr">
        <is>
          <t>0|2|0</t>
        </is>
      </c>
      <c r="H5" t="inlineStr">
        <is>
          <t>2-12</t>
        </is>
      </c>
    </row>
    <row r="6">
      <c r="A6" t="inlineStr">
        <is>
          <t>thrusting</t>
        </is>
      </c>
      <c r="B6" t="inlineStr">
        <is>
          <t>STR or AGI</t>
        </is>
      </c>
      <c r="G6" t="inlineStr">
        <is>
          <t>0|2|1</t>
        </is>
      </c>
      <c r="H6" t="inlineStr">
        <is>
          <t>2-10</t>
        </is>
      </c>
    </row>
    <row r="7">
      <c r="A7" t="inlineStr">
        <is>
          <t>projectile</t>
        </is>
      </c>
      <c r="B7" t="inlineStr">
        <is>
          <t>AGI</t>
        </is>
      </c>
      <c r="G7" t="inlineStr">
        <is>
          <t>1|1|0</t>
        </is>
      </c>
      <c r="H7" t="inlineStr">
        <is>
          <t>3-9</t>
        </is>
      </c>
    </row>
    <row r="8">
      <c r="A8" t="inlineStr">
        <is>
          <t>channeling</t>
        </is>
      </c>
      <c r="B8" t="inlineStr">
        <is>
          <t>AGI</t>
        </is>
      </c>
      <c r="G8" t="inlineStr">
        <is>
          <t>1|1|1</t>
        </is>
      </c>
      <c r="H8" t="inlineStr">
        <is>
          <t>3-8</t>
        </is>
      </c>
    </row>
    <row r="9">
      <c r="A9" t="inlineStr">
        <is>
          <t>blocking</t>
        </is>
      </c>
      <c r="B9" t="inlineStr">
        <is>
          <t>STA</t>
        </is>
      </c>
      <c r="G9" t="inlineStr">
        <is>
          <t>1|2|0</t>
        </is>
      </c>
      <c r="H9" t="inlineStr">
        <is>
          <t>6-18</t>
        </is>
      </c>
    </row>
    <row r="10">
      <c r="A10" t="inlineStr">
        <is>
          <t>warding</t>
        </is>
      </c>
      <c r="B10" t="inlineStr">
        <is>
          <t>STA</t>
        </is>
      </c>
      <c r="G10" t="inlineStr">
        <is>
          <t>1|2|1</t>
        </is>
      </c>
      <c r="H10" t="inlineStr">
        <is>
          <t>6-16</t>
        </is>
      </c>
    </row>
    <row r="11">
      <c r="A11" t="inlineStr">
        <is>
          <t>infusing</t>
        </is>
      </c>
      <c r="B11" t="inlineStr">
        <is>
          <t>INT</t>
        </is>
      </c>
      <c r="G11" t="inlineStr">
        <is>
          <t>2|1|0</t>
        </is>
      </c>
      <c r="H11" t="inlineStr">
        <is>
          <t>5-12</t>
        </is>
      </c>
    </row>
    <row r="12">
      <c r="A12" t="inlineStr">
        <is>
          <t>heavy</t>
        </is>
      </c>
      <c r="B12" t="inlineStr">
        <is>
          <t>STR or STA</t>
        </is>
      </c>
      <c r="G12" t="inlineStr">
        <is>
          <t>2|1|1</t>
        </is>
      </c>
      <c r="H12" t="inlineStr">
        <is>
          <t>5-11</t>
        </is>
      </c>
    </row>
    <row r="13">
      <c r="A13" t="inlineStr">
        <is>
          <t>medium</t>
        </is>
      </c>
      <c r="B13" t="inlineStr">
        <is>
          <t>AGI or STA</t>
        </is>
      </c>
      <c r="G13" t="inlineStr">
        <is>
          <t>2|2|0</t>
        </is>
      </c>
      <c r="H13" t="inlineStr">
        <is>
          <t>10-24</t>
        </is>
      </c>
    </row>
    <row r="14">
      <c r="A14" t="inlineStr">
        <is>
          <t>light</t>
        </is>
      </c>
      <c r="B14" t="inlineStr">
        <is>
          <t>INT or STA</t>
        </is>
      </c>
      <c r="G14" t="inlineStr">
        <is>
          <t>2|2|1</t>
        </is>
      </c>
      <c r="H14" t="inlineStr">
        <is>
          <t>10-22</t>
        </is>
      </c>
    </row>
    <row r="15">
      <c r="G15" t="inlineStr">
        <is>
          <t>3|1|0</t>
        </is>
      </c>
      <c r="H15" t="inlineStr">
        <is>
          <t>7-15</t>
        </is>
      </c>
    </row>
    <row r="16">
      <c r="G16" t="inlineStr">
        <is>
          <t>3|1|1</t>
        </is>
      </c>
      <c r="H16" t="inlineStr">
        <is>
          <t>7-14</t>
        </is>
      </c>
    </row>
    <row r="17">
      <c r="G17" t="inlineStr">
        <is>
          <t>3|2|0</t>
        </is>
      </c>
      <c r="H17" t="inlineStr">
        <is>
          <t>14-30</t>
        </is>
      </c>
    </row>
    <row r="18">
      <c r="G18" t="inlineStr">
        <is>
          <t>3|2|1</t>
        </is>
      </c>
      <c r="H18" t="inlineStr">
        <is>
          <t>14-28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2026-10-06T05:59:54Z</dcterms:created>
  <dcterms:modified xmlns:dcterms="http://purl.org/dc/terms/" xmlns:xsi="http://www.w3.org/2001/XMLSchema-instance" xsi:type="dcterms:W3CDTF">2026-10-14T12:37:16Z</dcterms:modified>
  <cp:lastModifiedBy>Owner</cp:lastModifiedBy>
</cp:coreProperties>
</file>